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irn\Downloads\"/>
    </mc:Choice>
  </mc:AlternateContent>
  <xr:revisionPtr revIDLastSave="0" documentId="13_ncr:1_{6B9DC956-764C-4382-8F35-51AAA1092F4A}" xr6:coauthVersionLast="47" xr6:coauthVersionMax="47" xr10:uidLastSave="{00000000-0000-0000-0000-000000000000}"/>
  <bookViews>
    <workbookView xWindow="-108" yWindow="-108" windowWidth="23256" windowHeight="12456" xr2:uid="{BFD07E40-9063-403C-AE72-22C04B9975E4}"/>
  </bookViews>
  <sheets>
    <sheet name="Component List" sheetId="3" r:id="rId1"/>
    <sheet name="Cost of Production Techniques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C27" i="3"/>
  <c r="H20" i="3"/>
  <c r="K20" i="3"/>
  <c r="M20" i="3" s="1"/>
  <c r="M21" i="3" s="1"/>
  <c r="E21" i="3"/>
  <c r="K4" i="3"/>
  <c r="K5" i="3"/>
  <c r="K6" i="3"/>
  <c r="K7" i="3"/>
  <c r="K8" i="3"/>
  <c r="K9" i="3"/>
  <c r="K10" i="3"/>
  <c r="K11" i="3"/>
  <c r="K12" i="3"/>
  <c r="H4" i="3"/>
  <c r="H5" i="3"/>
  <c r="H6" i="3"/>
  <c r="H7" i="3"/>
  <c r="H8" i="3"/>
  <c r="H9" i="3"/>
  <c r="H10" i="3"/>
  <c r="H11" i="3"/>
  <c r="H12" i="3"/>
  <c r="N20" i="3" l="1" a="1"/>
  <c r="N20" i="3" s="1"/>
  <c r="N2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Van Riel</author>
  </authors>
  <commentList>
    <comment ref="A3" authorId="0" shapeId="0" xr:uid="{012DB47D-1E42-4A57-A96A-6792F78F4BBF}">
      <text>
        <r>
          <rPr>
            <b/>
            <sz val="9"/>
            <color indexed="81"/>
            <rFont val="Tahoma"/>
            <family val="2"/>
          </rPr>
          <t>Add numbers after the decimal point to subdivide the item.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Van Riel</author>
  </authors>
  <commentList>
    <comment ref="E6" authorId="0" shapeId="0" xr:uid="{EE964FE2-74CE-486C-9070-6401B60A12DA}">
      <text>
        <r>
          <rPr>
            <b/>
            <sz val="9"/>
            <color indexed="81"/>
            <rFont val="Tahoma"/>
            <charset val="1"/>
          </rPr>
          <t>€10 to reduce 10 cm shaft from diameter 50 to 40 mm</t>
        </r>
      </text>
    </comment>
    <comment ref="E7" authorId="0" shapeId="0" xr:uid="{5F72CD11-802C-4124-983C-C79E8646845E}">
      <text>
        <r>
          <rPr>
            <b/>
            <sz val="9"/>
            <color indexed="81"/>
            <rFont val="Tahoma"/>
            <charset val="1"/>
          </rPr>
          <t>€30 to finish surface of rough turning</t>
        </r>
      </text>
    </comment>
    <comment ref="E8" authorId="0" shapeId="0" xr:uid="{54910F25-7D1F-46F2-8D21-6DC2FA593A56}">
      <text>
        <r>
          <rPr>
            <b/>
            <sz val="9"/>
            <color indexed="81"/>
            <rFont val="Tahoma"/>
            <charset val="1"/>
          </rPr>
          <t>€20 to drill a troughhole trough shaft after turning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<sst xmlns="http://schemas.openxmlformats.org/spreadsheetml/2006/main" count="143" uniqueCount="98">
  <si>
    <t>RDS reference</t>
  </si>
  <si>
    <t>Material</t>
  </si>
  <si>
    <t>Production technique</t>
  </si>
  <si>
    <t>Purchase information</t>
  </si>
  <si>
    <t>RS Components</t>
  </si>
  <si>
    <t>Aluminium</t>
  </si>
  <si>
    <t>Lasercutting</t>
  </si>
  <si>
    <t>Waterjetcutting</t>
  </si>
  <si>
    <t>Grinding</t>
  </si>
  <si>
    <t>3D printing</t>
  </si>
  <si>
    <t>Number of clamping setups (opspanningen)</t>
  </si>
  <si>
    <t>cost per clamping</t>
  </si>
  <si>
    <t>total clamping cost</t>
  </si>
  <si>
    <t>Removed volume [cm³]</t>
  </si>
  <si>
    <t>Finished surface [cm²]</t>
  </si>
  <si>
    <t>Linear length of hole (depth) [cm]</t>
  </si>
  <si>
    <t>Length of cut [cm]</t>
  </si>
  <si>
    <t>Length to cut [cm]</t>
  </si>
  <si>
    <t>Cast volume [cm³]</t>
  </si>
  <si>
    <t>Printed volume (incl. material) [cm³]</t>
  </si>
  <si>
    <t>Multipliers for accuracy requirements (ISO 2768)</t>
  </si>
  <si>
    <t>fine</t>
  </si>
  <si>
    <t>medium</t>
  </si>
  <si>
    <t>coarse</t>
  </si>
  <si>
    <t>very coarse</t>
  </si>
  <si>
    <t>Multiplier</t>
  </si>
  <si>
    <t>ISO 2768 Accuracy</t>
  </si>
  <si>
    <t>#</t>
  </si>
  <si>
    <t>Description</t>
  </si>
  <si>
    <t>Purchase link</t>
  </si>
  <si>
    <t>Unit of technique</t>
  </si>
  <si>
    <t>Amount</t>
  </si>
  <si>
    <t># of clampings</t>
  </si>
  <si>
    <t>Manufacturing cost</t>
  </si>
  <si>
    <t>Total</t>
  </si>
  <si>
    <t>Milling (Rough)</t>
  </si>
  <si>
    <t>Milling (Fine)</t>
  </si>
  <si>
    <t>Turning (Rough)</t>
  </si>
  <si>
    <t>Turning (Fine)</t>
  </si>
  <si>
    <t>Drilling</t>
  </si>
  <si>
    <t>Sandcasting</t>
  </si>
  <si>
    <r>
      <t xml:space="preserve">Further engineering needed? </t>
    </r>
    <r>
      <rPr>
        <b/>
        <sz val="12"/>
        <color theme="1"/>
        <rFont val="Calibri"/>
        <family val="2"/>
        <scheme val="minor"/>
      </rPr>
      <t xml:space="preserve">(Input </t>
    </r>
    <r>
      <rPr>
        <b/>
        <u/>
        <sz val="12"/>
        <color theme="1"/>
        <rFont val="Calibri"/>
        <family val="2"/>
        <scheme val="minor"/>
      </rPr>
      <t>underscored</t>
    </r>
    <r>
      <rPr>
        <b/>
        <sz val="12"/>
        <color theme="1"/>
        <rFont val="Calibri"/>
        <family val="2"/>
        <scheme val="minor"/>
      </rPr>
      <t xml:space="preserve"> columns, columns in </t>
    </r>
    <r>
      <rPr>
        <b/>
        <i/>
        <sz val="12"/>
        <color theme="1"/>
        <rFont val="Calibri"/>
        <family val="2"/>
        <scheme val="minor"/>
      </rPr>
      <t>italics</t>
    </r>
    <r>
      <rPr>
        <b/>
        <sz val="12"/>
        <color theme="1"/>
        <rFont val="Calibri"/>
        <family val="2"/>
        <scheme val="minor"/>
      </rPr>
      <t xml:space="preserve"> are calculated automatically)</t>
    </r>
  </si>
  <si>
    <t>Total cost</t>
  </si>
  <si>
    <t>Base cost</t>
  </si>
  <si>
    <r>
      <t xml:space="preserve">Eductational tool to </t>
    </r>
    <r>
      <rPr>
        <b/>
        <sz val="20"/>
        <color theme="1"/>
        <rFont val="Calibri"/>
        <family val="2"/>
        <scheme val="minor"/>
      </rPr>
      <t>(roughly)</t>
    </r>
    <r>
      <rPr>
        <b/>
        <sz val="24"/>
        <color theme="1"/>
        <rFont val="Calibri"/>
        <family val="2"/>
        <scheme val="minor"/>
      </rPr>
      <t xml:space="preserve"> estimate manufacturing cost</t>
    </r>
  </si>
  <si>
    <t>Servomotor Panasonic MSMF082L1U2M 750W + servoaandrijving MCDN205BE (MINAS A7)</t>
  </si>
  <si>
    <t>HIWIN WBK30DF vast-eindlagereenheid (geïntegreerde hoekcontactlagers 7206 BE, DF-opstelling)</t>
  </si>
  <si>
    <t>HIWIN BK30 zwevend-eindlagereenheid (diepgroefkogellager 6206)</t>
  </si>
  <si>
    <t>HIWIN R40-20T2-DDB-2350 kogelomloopspindel Ø40mm spoed 20mm + moer</t>
  </si>
  <si>
    <t>HIWIN PGCW30/CG30 lineaire rails ×2 + CG30 geleideblokken ×4 (set)</t>
  </si>
  <si>
    <t>R+W EK1/50/AA membraankoppeling (geselecteerd op trekkoppel en as-doorsneden)</t>
  </si>
  <si>
    <t>igus E2.48.050.125.0 energieketen Bi=50mm Hi=48mm R=125mm (1,5m)</t>
  </si>
  <si>
    <t>Inductieve referentieschakelaar NPN (thuispositie spindel)</t>
  </si>
  <si>
    <t>Eindschakelaars ×2 – boven- en onderste slagbegrenzing (hardware veiligheid)</t>
  </si>
  <si>
    <t>Montageplaat Al 6082-T6, 440×360×20mm (geleideblokbevestiging + railreferentievlakken)</t>
  </si>
  <si>
    <t>Behuizingsplaten Al 6082-T6 (stel van 2 – zijpanelen frame/behuizing)</t>
  </si>
  <si>
    <t>S355 RHS 200×120×5mm frame gelast + RHS 120×80×5mm dwarsverbindingen (uitbesteed)</t>
  </si>
  <si>
    <t>Kabels, connectoren, M10/M6 bouten, moeren, sluitringen (schatting)</t>
  </si>
  <si>
    <t>"-M1"</t>
  </si>
  <si>
    <t>"-M1.U1"</t>
  </si>
  <si>
    <t>"-M1.U2"</t>
  </si>
  <si>
    <t>"-M1.W1"</t>
  </si>
  <si>
    <t>"-M1.W2A/B + -M1.W3A-D"</t>
  </si>
  <si>
    <t>"-M1.X1"</t>
  </si>
  <si>
    <t>"-M1.W4"</t>
  </si>
  <si>
    <t>"-M1.B2"</t>
  </si>
  <si>
    <t>"-M1.F1/F2"</t>
  </si>
  <si>
    <t>"-M1.U3"</t>
  </si>
  <si>
    <t>"-M1.U4"</t>
  </si>
  <si>
    <t>"-M1.N1"</t>
  </si>
  <si>
    <t>"-"</t>
  </si>
  <si>
    <t>Panasonic</t>
  </si>
  <si>
    <t>HIWIN</t>
  </si>
  <si>
    <t>R+W</t>
  </si>
  <si>
    <t>igus</t>
  </si>
  <si>
    <t>Ruw materiaal</t>
  </si>
  <si>
    <t>Staalbouwbedrijf</t>
  </si>
  <si>
    <t>Diverse</t>
  </si>
  <si>
    <t>Boren</t>
  </si>
  <si>
    <t>Frezen (Ruw)</t>
  </si>
  <si>
    <t>Frezen (Fijn)</t>
  </si>
  <si>
    <t>Laserknippen</t>
  </si>
  <si>
    <t>Staal</t>
  </si>
  <si>
    <t>Lineaire borenlengte (diepte) [cm]</t>
  </si>
  <si>
    <t>Verwijderd volume [cm³]</t>
  </si>
  <si>
    <t>grof</t>
  </si>
  <si>
    <t>0.9</t>
  </si>
  <si>
    <t>Afwerkoppervlak [cm²]</t>
  </si>
  <si>
    <t>Snijlengte [cm]</t>
  </si>
  <si>
    <t>-</t>
  </si>
  <si>
    <t>- €</t>
  </si>
  <si>
    <t>Totale hardwarekosten M1-sectie (aankoop + productie)</t>
  </si>
  <si>
    <t>Engineeringkosten schatting: 6 ECTS × 70 h/ECTS × €50/h × 1 student</t>
  </si>
  <si>
    <t>Totale projectkosten M1-as (hardware + engineering)</t>
  </si>
  <si>
    <t>1 opspanning (€)</t>
  </si>
  <si>
    <t>Techniek</t>
  </si>
  <si>
    <t>Eenheid</t>
  </si>
  <si>
    <t>Tarief (€/eenheid)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</si>
</sst>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€&quot;\ #,##0.00;[Red]&quot;€&quot;\ \-#,##0.00"/>
    <numFmt numFmtId="164" formatCode="_-* #,##0.00\ &quot;€&quot;_-;\-* #,##0.00\ &quot;€&quot;_-;_-* &quot;-&quot;??\ &quot;€&quot;_-;_-@_-"/>
    <numFmt numFmtId="165" formatCode="_-* #,##0\ &quot;€&quot;_-;\-* #,##0\ &quot;€&quot;_-;_-* &quot;-&quot;??\ &quot;€&quot;_-;_-@_-"/>
    <numFmt numFmtId="166" formatCode="0.0"/>
    <numFmt numFmtId="171" formatCode="#,##0.00\ [$€-1];[Red]\-#,##0.00\ [$€-1]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7"/>
      <color rgb="FF0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8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1" applyNumberFormat="1" applyFont="1"/>
    <xf numFmtId="164" fontId="0" fillId="0" borderId="0" xfId="1" applyFont="1" applyAlignment="1">
      <alignment horizontal="left"/>
    </xf>
    <xf numFmtId="166" fontId="0" fillId="0" borderId="0" xfId="0" applyNumberFormat="1"/>
    <xf numFmtId="49" fontId="0" fillId="0" borderId="0" xfId="0" applyNumberFormat="1"/>
    <xf numFmtId="49" fontId="8" fillId="0" borderId="0" xfId="0" applyNumberFormat="1" applyFont="1"/>
    <xf numFmtId="49" fontId="11" fillId="0" borderId="0" xfId="0" applyNumberFormat="1" applyFont="1"/>
    <xf numFmtId="49" fontId="12" fillId="0" borderId="0" xfId="0" applyNumberFormat="1" applyFont="1"/>
    <xf numFmtId="49" fontId="8" fillId="0" borderId="1" xfId="0" applyNumberFormat="1" applyFont="1" applyBorder="1"/>
    <xf numFmtId="164" fontId="2" fillId="0" borderId="0" xfId="0" applyNumberFormat="1" applyFont="1"/>
    <xf numFmtId="164" fontId="0" fillId="0" borderId="2" xfId="0" applyNumberFormat="1" applyBorder="1"/>
    <xf numFmtId="166" fontId="9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10" fillId="0" borderId="0" xfId="0" applyNumberFormat="1" applyFont="1"/>
    <xf numFmtId="164" fontId="0" fillId="0" borderId="2" xfId="1" applyNumberFormat="1" applyFont="1" applyBorder="1"/>
    <xf numFmtId="171" fontId="0" fillId="0" borderId="0" xfId="0" applyNumberFormat="1"/>
    <xf numFmtId="0" fontId="0" fillId="5" borderId="0" xfId="0" applyFill="1"/>
    <xf numFmtId="0" fontId="0" fillId="6" borderId="0" xfId="0" applyFill="1"/>
    <xf numFmtId="8" fontId="0" fillId="0" borderId="0" xfId="0" applyNumberFormat="1"/>
    <xf numFmtId="0" fontId="14" fillId="4" borderId="0" xfId="0" applyFont="1" applyFill="1" applyBorder="1" applyAlignment="1">
      <alignment vertical="center" wrapText="1"/>
    </xf>
    <xf numFmtId="171" fontId="14" fillId="4" borderId="0" xfId="0" applyNumberFormat="1" applyFont="1" applyFill="1" applyBorder="1" applyAlignment="1">
      <alignment horizontal="center" vertical="center" wrapText="1"/>
    </xf>
  </cellXfs>
  <cellStyles count="2">
    <cellStyle name="Standaard" xfId="0" builtinId="0"/>
    <cellStyle name="Valuta" xfId="1" builtinId="4"/>
  </cellStyles>
  <dxfs count="11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  <border diagonalUp="0" diagonalDown="0" outline="0">
        <left/>
        <right style="thin">
          <color theme="8"/>
        </right>
        <top/>
        <bottom/>
      </border>
    </dxf>
    <dxf>
      <numFmt numFmtId="164" formatCode="_-* #,##0.00\ &quot;€&quot;_-;\-* #,##0.00\ &quot;€&quot;_-;_-* &quot;-&quot;??\ &quot;€&quot;_-;_-@_-"/>
      <border diagonalUp="0" diagonalDown="0" outline="0">
        <left/>
        <right style="thin">
          <color theme="8"/>
        </right>
        <top/>
        <bottom/>
      </border>
    </dxf>
    <dxf>
      <font>
        <b/>
      </font>
      <numFmt numFmtId="164" formatCode="_-* #,##0.00\ &quot;€&quot;_-;\-* #,##0.00\ &quot;€&quot;_-;_-* &quot;-&quot;??\ &quot;€&quot;_-;_-@_-"/>
    </dxf>
    <dxf>
      <numFmt numFmtId="164" formatCode="_-* #,##0.00\ &quot;€&quot;_-;\-* #,##0.00\ &quot;€&quot;_-;_-* &quot;-&quot;??\ &quot;€&quot;_-;_-@_-"/>
      <border diagonalUp="0" diagonalDown="0">
        <left/>
        <right style="thin">
          <color theme="8"/>
        </right>
        <top/>
        <bottom/>
        <vertical/>
        <horizontal/>
      </border>
    </dxf>
    <dxf>
      <font>
        <i/>
      </font>
      <numFmt numFmtId="0" formatCode="General"/>
    </dxf>
    <dxf>
      <font>
        <i/>
      </font>
      <numFmt numFmtId="0" formatCode="General"/>
    </dxf>
    <dxf>
      <numFmt numFmtId="166" formatCode="0.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AC874E-EB54-4A35-9825-F9ECABB7DE11}" name="ComponentList" displayName="ComponentList" ref="A3:N21" totalsRowCount="1" headerRowDxfId="10">
  <autoFilter ref="A3:N20" xr:uid="{C2AC874E-EB54-4A35-9825-F9ECABB7DE11}"/>
  <sortState xmlns:xlrd2="http://schemas.microsoft.com/office/spreadsheetml/2017/richdata2" ref="A4:N19">
    <sortCondition ref="A3:A19"/>
  </sortState>
  <tableColumns count="14">
    <tableColumn id="1" xr3:uid="{352DFC0F-DB9A-4F90-8E65-FBDC9901D3E9}" name="#" totalsRowLabel="Total" dataDxfId="9"/>
    <tableColumn id="2" xr3:uid="{321D8479-4437-4E68-8477-A85B4051E2DC}" name="Description"/>
    <tableColumn id="3" xr3:uid="{3BBD4B6A-213E-47D3-8F21-FD1C3FB981DF}" name="RDS reference"/>
    <tableColumn id="5" xr3:uid="{6541A640-5027-43E4-BE67-DCC4D661E49A}" name="Purchase link"/>
    <tableColumn id="6" xr3:uid="{C3973739-C0EF-481D-A250-A79ED33D4073}" name="Base cost" totalsRowFunction="sum" totalsRowDxfId="4"/>
    <tableColumn id="7" xr3:uid="{CFFDAA93-3C16-4D2C-B7DD-2186407D5E25}" name="Production technique"/>
    <tableColumn id="8" xr3:uid="{1F75C576-BB36-4560-B2E6-7EB0AA5AFCF8}" name="Material"/>
    <tableColumn id="9" xr3:uid="{1F52B54F-D45B-4C3D-A16A-05B14D329B8E}" name="Unit of technique" dataDxfId="8">
      <calculatedColumnFormula>_xlfn.XLOOKUP(ComponentList[[#This Row],[Production technique]],'Cost of Production Techniques'!$C$4:$C$13,'Cost of Production Techniques'!$D$4:$D$13,"")</calculatedColumnFormula>
    </tableColumn>
    <tableColumn id="10" xr3:uid="{8B292B33-33B6-4516-856E-A3130D8FE5AA}" name="Amount"/>
    <tableColumn id="11" xr3:uid="{ACD20662-26F2-433A-B706-3459B1534B26}" name="ISO 2768 Accuracy"/>
    <tableColumn id="12" xr3:uid="{AD88B757-8110-4B2A-822A-BFC627E9E8EF}" name="Multiplier" dataDxfId="7">
      <calculatedColumnFormula>_xlfn.XLOOKUP(ComponentList[[#This Row],[ISO 2768 Accuracy]],'Cost of Production Techniques'!$C$18:$C$21,'Cost of Production Techniques'!$D$18:$D$21,"")</calculatedColumnFormula>
    </tableColumn>
    <tableColumn id="13" xr3:uid="{4538FC3E-B86B-4D3C-B3AC-09515F134FDE}" name="# of clampings"/>
    <tableColumn id="14" xr3:uid="{7D00F2B7-5460-458B-A3D7-ECE241B76871}" name="Manufacturing cost" totalsRowFunction="sum" dataDxfId="6" totalsRowDxfId="3">
      <calculatedColumnFormula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calculatedColumnFormula>
    </tableColumn>
    <tableColumn id="15" xr3:uid="{D5D82742-C566-4373-8335-8285DE613D01}" name="Total cost" totalsRowFunction="sum" dataDxfId="5" totalsRowDxfId="2">
      <calculatedColumnFormula array="1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calculatedColumnFormula>
    </tableColumn>
  </tableColumns>
  <tableStyleInfo name="TableStyleLight13" showFirstColumn="0" showLastColumn="0" showRowStripes="0" showColumnStripes="0"/>
</table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2A8151-7DDE-4FAB-A1B5-02D82847E18D}">
  <we:reference id="wa200009404" version="1.0.0.8" store="nl-NL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7B27-5F08-4345-AD04-9B47D0500C4E}">
  <dimension ref="A1:N27"/>
  <sheetViews>
    <sheetView tabSelected="1" zoomScale="70" zoomScaleNormal="70" workbookViewId="0">
      <selection activeCell="C31" sqref="C31"/>
    </sheetView>
  </sheetViews>
  <sheetFormatPr defaultRowHeight="14.4" x14ac:dyDescent="0.3"/>
  <cols>
    <col min="1" max="1" width="5.21875" style="8" bestFit="1" customWidth="1"/>
    <col min="2" max="2" width="88.21875" bestFit="1" customWidth="1"/>
    <col min="3" max="3" width="27.44140625" customWidth="1"/>
    <col min="4" max="4" width="19.21875" customWidth="1"/>
    <col min="5" max="5" width="11.88671875" bestFit="1" customWidth="1"/>
    <col min="6" max="6" width="23.77734375" bestFit="1" customWidth="1"/>
    <col min="7" max="7" width="11.109375" bestFit="1" customWidth="1"/>
    <col min="8" max="8" width="28.5546875" bestFit="1" customWidth="1"/>
    <col min="9" max="9" width="10.77734375" bestFit="1" customWidth="1"/>
    <col min="10" max="10" width="20.21875" customWidth="1"/>
    <col min="11" max="11" width="12.44140625" customWidth="1"/>
    <col min="12" max="12" width="16.6640625" bestFit="1" customWidth="1"/>
    <col min="13" max="13" width="21.44140625" bestFit="1" customWidth="1"/>
    <col min="14" max="14" width="12.33203125" bestFit="1" customWidth="1"/>
  </cols>
  <sheetData>
    <row r="1" spans="1:14" ht="31.2" x14ac:dyDescent="0.6">
      <c r="A1" s="16" t="s">
        <v>44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4" ht="18" x14ac:dyDescent="0.35">
      <c r="A2" s="17" t="s">
        <v>3</v>
      </c>
      <c r="B2" s="17"/>
      <c r="C2" s="17"/>
      <c r="D2" s="17"/>
      <c r="E2" s="17"/>
      <c r="F2" s="18" t="s">
        <v>41</v>
      </c>
      <c r="G2" s="18"/>
      <c r="H2" s="18"/>
      <c r="I2" s="18"/>
      <c r="J2" s="18"/>
      <c r="K2" s="18"/>
      <c r="L2" s="18"/>
      <c r="M2" s="18"/>
      <c r="N2" s="18"/>
    </row>
    <row r="3" spans="1:14" s="9" customFormat="1" ht="15.6" x14ac:dyDescent="0.3">
      <c r="A3" s="10" t="s">
        <v>27</v>
      </c>
      <c r="B3" s="10" t="s">
        <v>28</v>
      </c>
      <c r="C3" s="10" t="s">
        <v>0</v>
      </c>
      <c r="D3" s="10" t="s">
        <v>29</v>
      </c>
      <c r="E3" s="13" t="s">
        <v>43</v>
      </c>
      <c r="F3" s="11" t="s">
        <v>2</v>
      </c>
      <c r="G3" s="11" t="s">
        <v>1</v>
      </c>
      <c r="H3" s="12" t="s">
        <v>30</v>
      </c>
      <c r="I3" s="11" t="s">
        <v>31</v>
      </c>
      <c r="J3" s="11" t="s">
        <v>26</v>
      </c>
      <c r="K3" s="12" t="s">
        <v>25</v>
      </c>
      <c r="L3" s="11" t="s">
        <v>32</v>
      </c>
      <c r="M3" s="12" t="s">
        <v>33</v>
      </c>
      <c r="N3" s="12" t="s">
        <v>42</v>
      </c>
    </row>
    <row r="4" spans="1:14" x14ac:dyDescent="0.3">
      <c r="A4" s="22">
        <v>1</v>
      </c>
      <c r="B4" s="22" t="s">
        <v>45</v>
      </c>
      <c r="C4" s="22" t="s">
        <v>58</v>
      </c>
      <c r="D4" s="22" t="s">
        <v>71</v>
      </c>
      <c r="E4" s="22">
        <v>1800</v>
      </c>
      <c r="F4" s="22" t="s">
        <v>39</v>
      </c>
      <c r="G4" s="22" t="s">
        <v>5</v>
      </c>
      <c r="H4" s="22" t="str">
        <f>_xlfn.XLOOKUP(ComponentList[[#This Row],[Production technique]],'Cost of Production Techniques'!$C$4:$C$13,'Cost of Production Techniques'!$D$4:$D$13,"")</f>
        <v>Linear length of hole (depth) [cm]</v>
      </c>
      <c r="I4" s="22">
        <v>0.8</v>
      </c>
      <c r="J4" s="22" t="s">
        <v>22</v>
      </c>
      <c r="K4" s="22">
        <f>_xlfn.XLOOKUP(ComponentList[[#This Row],[ISO 2768 Accuracy]],'Cost of Production Techniques'!$C$18:$C$21,'Cost of Production Techniques'!$D$18:$D$21,"")</f>
        <v>1</v>
      </c>
      <c r="L4" s="22">
        <v>1</v>
      </c>
      <c r="M4" s="22" t="s">
        <v>90</v>
      </c>
      <c r="N4" s="22">
        <v>1800</v>
      </c>
    </row>
    <row r="5" spans="1:14" x14ac:dyDescent="0.3">
      <c r="A5" s="23">
        <v>2</v>
      </c>
      <c r="B5" s="23" t="s">
        <v>46</v>
      </c>
      <c r="C5" s="23" t="s">
        <v>59</v>
      </c>
      <c r="D5" s="23" t="s">
        <v>72</v>
      </c>
      <c r="E5" s="23">
        <v>350</v>
      </c>
      <c r="F5" s="23" t="s">
        <v>6</v>
      </c>
      <c r="G5" s="23" t="s">
        <v>5</v>
      </c>
      <c r="H5" s="23" t="str">
        <f>_xlfn.XLOOKUP(ComponentList[[#This Row],[Production technique]],'Cost of Production Techniques'!$C$4:$C$13,'Cost of Production Techniques'!$D$4:$D$13,"")</f>
        <v>Length of cut [cm]</v>
      </c>
      <c r="I5" s="23">
        <v>120</v>
      </c>
      <c r="J5" s="23" t="s">
        <v>22</v>
      </c>
      <c r="K5" s="23">
        <f>_xlfn.XLOOKUP(ComponentList[[#This Row],[ISO 2768 Accuracy]],'Cost of Production Techniques'!$C$18:$C$21,'Cost of Production Techniques'!$D$18:$D$21,"")</f>
        <v>1</v>
      </c>
      <c r="L5" s="23">
        <v>1</v>
      </c>
      <c r="M5" s="23" t="s">
        <v>90</v>
      </c>
      <c r="N5" s="23">
        <v>350</v>
      </c>
    </row>
    <row r="6" spans="1:14" x14ac:dyDescent="0.3">
      <c r="A6" s="22">
        <v>3</v>
      </c>
      <c r="B6" s="22" t="s">
        <v>47</v>
      </c>
      <c r="C6" s="22" t="s">
        <v>60</v>
      </c>
      <c r="D6" s="22" t="s">
        <v>72</v>
      </c>
      <c r="E6" s="22">
        <v>120</v>
      </c>
      <c r="F6" s="22"/>
      <c r="G6" s="22"/>
      <c r="H6" s="22" t="str">
        <f>_xlfn.XLOOKUP(ComponentList[[#This Row],[Production technique]],'Cost of Production Techniques'!$C$4:$C$13,'Cost of Production Techniques'!$D$4:$D$13,"")</f>
        <v/>
      </c>
      <c r="I6" s="22"/>
      <c r="J6" s="22"/>
      <c r="K6" s="22" t="str">
        <f>_xlfn.XLOOKUP(ComponentList[[#This Row],[ISO 2768 Accuracy]],'Cost of Production Techniques'!$C$18:$C$21,'Cost of Production Techniques'!$D$18:$D$21,"")</f>
        <v/>
      </c>
      <c r="L6" s="22"/>
      <c r="M6" s="22" t="s">
        <v>90</v>
      </c>
      <c r="N6" s="22">
        <v>120</v>
      </c>
    </row>
    <row r="7" spans="1:14" x14ac:dyDescent="0.3">
      <c r="A7" s="23">
        <v>4</v>
      </c>
      <c r="B7" s="23" t="s">
        <v>48</v>
      </c>
      <c r="C7" s="23" t="s">
        <v>61</v>
      </c>
      <c r="D7" s="23" t="s">
        <v>72</v>
      </c>
      <c r="E7" s="23">
        <v>1200</v>
      </c>
      <c r="F7" s="23"/>
      <c r="G7" s="23"/>
      <c r="H7" s="23" t="str">
        <f>_xlfn.XLOOKUP(ComponentList[[#This Row],[Production technique]],'Cost of Production Techniques'!$C$4:$C$13,'Cost of Production Techniques'!$D$4:$D$13,"")</f>
        <v/>
      </c>
      <c r="I7" s="23"/>
      <c r="J7" s="23"/>
      <c r="K7" s="23" t="str">
        <f>_xlfn.XLOOKUP(ComponentList[[#This Row],[ISO 2768 Accuracy]],'Cost of Production Techniques'!$C$18:$C$21,'Cost of Production Techniques'!$D$18:$D$21,"")</f>
        <v/>
      </c>
      <c r="L7" s="23"/>
      <c r="M7" s="23" t="s">
        <v>90</v>
      </c>
      <c r="N7" s="23">
        <v>1200</v>
      </c>
    </row>
    <row r="8" spans="1:14" x14ac:dyDescent="0.3">
      <c r="A8" s="22">
        <v>5</v>
      </c>
      <c r="B8" s="22" t="s">
        <v>49</v>
      </c>
      <c r="C8" s="22" t="s">
        <v>62</v>
      </c>
      <c r="D8" s="22" t="s">
        <v>72</v>
      </c>
      <c r="E8" s="22">
        <v>900</v>
      </c>
      <c r="F8" s="22" t="s">
        <v>35</v>
      </c>
      <c r="G8" s="22" t="s">
        <v>5</v>
      </c>
      <c r="H8" s="22" t="str">
        <f>_xlfn.XLOOKUP(ComponentList[[#This Row],[Production technique]],'Cost of Production Techniques'!$C$4:$C$13,'Cost of Production Techniques'!$D$4:$D$13,"")</f>
        <v>Removed volume [cm³]</v>
      </c>
      <c r="I8" s="22">
        <v>180</v>
      </c>
      <c r="J8" s="22" t="s">
        <v>23</v>
      </c>
      <c r="K8" s="22">
        <f>_xlfn.XLOOKUP(ComponentList[[#This Row],[ISO 2768 Accuracy]],'Cost of Production Techniques'!$C$18:$C$21,'Cost of Production Techniques'!$D$18:$D$21,"")</f>
        <v>0.9</v>
      </c>
      <c r="L8" s="22">
        <v>1</v>
      </c>
      <c r="M8" s="22" t="s">
        <v>90</v>
      </c>
      <c r="N8" s="22">
        <v>900</v>
      </c>
    </row>
    <row r="9" spans="1:14" x14ac:dyDescent="0.3">
      <c r="A9" s="23">
        <v>6</v>
      </c>
      <c r="B9" s="23" t="s">
        <v>50</v>
      </c>
      <c r="C9" s="23" t="s">
        <v>63</v>
      </c>
      <c r="D9" s="23" t="s">
        <v>73</v>
      </c>
      <c r="E9" s="23">
        <v>250</v>
      </c>
      <c r="F9" s="23" t="s">
        <v>36</v>
      </c>
      <c r="G9" s="23" t="s">
        <v>5</v>
      </c>
      <c r="H9" s="23" t="str">
        <f>_xlfn.XLOOKUP(ComponentList[[#This Row],[Production technique]],'Cost of Production Techniques'!$C$4:$C$13,'Cost of Production Techniques'!$D$4:$D$13,"")</f>
        <v>Finished surface [cm²]</v>
      </c>
      <c r="I9" s="23">
        <v>300</v>
      </c>
      <c r="J9" s="23" t="s">
        <v>22</v>
      </c>
      <c r="K9" s="23">
        <f>_xlfn.XLOOKUP(ComponentList[[#This Row],[ISO 2768 Accuracy]],'Cost of Production Techniques'!$C$18:$C$21,'Cost of Production Techniques'!$D$18:$D$21,"")</f>
        <v>1</v>
      </c>
      <c r="L9" s="23">
        <v>2</v>
      </c>
      <c r="M9" s="23" t="s">
        <v>90</v>
      </c>
      <c r="N9" s="23">
        <v>250</v>
      </c>
    </row>
    <row r="10" spans="1:14" x14ac:dyDescent="0.3">
      <c r="A10" s="22">
        <v>7</v>
      </c>
      <c r="B10" s="22" t="s">
        <v>51</v>
      </c>
      <c r="C10" s="22" t="s">
        <v>64</v>
      </c>
      <c r="D10" s="22" t="s">
        <v>74</v>
      </c>
      <c r="E10" s="22">
        <v>180</v>
      </c>
      <c r="F10" s="22"/>
      <c r="G10" s="22"/>
      <c r="H10" s="22" t="str">
        <f>_xlfn.XLOOKUP(ComponentList[[#This Row],[Production technique]],'Cost of Production Techniques'!$C$4:$C$13,'Cost of Production Techniques'!$D$4:$D$13,"")</f>
        <v/>
      </c>
      <c r="I10" s="22"/>
      <c r="J10" s="22"/>
      <c r="K10" s="22" t="str">
        <f>_xlfn.XLOOKUP(ComponentList[[#This Row],[ISO 2768 Accuracy]],'Cost of Production Techniques'!$C$18:$C$21,'Cost of Production Techniques'!$D$18:$D$21,"")</f>
        <v/>
      </c>
      <c r="L10" s="22"/>
      <c r="M10" s="22" t="s">
        <v>90</v>
      </c>
      <c r="N10" s="22">
        <v>180</v>
      </c>
    </row>
    <row r="11" spans="1:14" x14ac:dyDescent="0.3">
      <c r="A11" s="23">
        <v>8</v>
      </c>
      <c r="B11" s="23" t="s">
        <v>52</v>
      </c>
      <c r="C11" s="23" t="s">
        <v>65</v>
      </c>
      <c r="D11" s="23" t="s">
        <v>4</v>
      </c>
      <c r="E11" s="23">
        <v>80</v>
      </c>
      <c r="F11" s="23"/>
      <c r="G11" s="23"/>
      <c r="H11" s="23" t="str">
        <f>_xlfn.XLOOKUP(ComponentList[[#This Row],[Production technique]],'Cost of Production Techniques'!$C$4:$C$13,'Cost of Production Techniques'!$D$4:$D$13,"")</f>
        <v/>
      </c>
      <c r="I11" s="23"/>
      <c r="J11" s="23"/>
      <c r="K11" s="23" t="str">
        <f>_xlfn.XLOOKUP(ComponentList[[#This Row],[ISO 2768 Accuracy]],'Cost of Production Techniques'!$C$18:$C$21,'Cost of Production Techniques'!$D$18:$D$21,"")</f>
        <v/>
      </c>
      <c r="L11" s="23"/>
      <c r="M11" s="23" t="s">
        <v>90</v>
      </c>
      <c r="N11" s="23">
        <v>80</v>
      </c>
    </row>
    <row r="12" spans="1:14" x14ac:dyDescent="0.3">
      <c r="A12" s="22">
        <v>9</v>
      </c>
      <c r="B12" s="22" t="s">
        <v>53</v>
      </c>
      <c r="C12" s="22" t="s">
        <v>66</v>
      </c>
      <c r="D12" s="22" t="s">
        <v>4</v>
      </c>
      <c r="E12" s="22">
        <v>80</v>
      </c>
      <c r="F12" s="22"/>
      <c r="G12" s="22"/>
      <c r="H12" s="22" t="str">
        <f>_xlfn.XLOOKUP(ComponentList[[#This Row],[Production technique]],'Cost of Production Techniques'!$C$4:$C$13,'Cost of Production Techniques'!$D$4:$D$13,"")</f>
        <v/>
      </c>
      <c r="I12" s="22"/>
      <c r="J12" s="22"/>
      <c r="K12" s="22" t="str">
        <f>_xlfn.XLOOKUP(ComponentList[[#This Row],[ISO 2768 Accuracy]],'Cost of Production Techniques'!$C$18:$C$21,'Cost of Production Techniques'!$D$18:$D$21,"")</f>
        <v/>
      </c>
      <c r="L12" s="22"/>
      <c r="M12" s="22" t="s">
        <v>90</v>
      </c>
      <c r="N12" s="22">
        <v>80</v>
      </c>
    </row>
    <row r="13" spans="1:14" x14ac:dyDescent="0.3">
      <c r="A13" s="23">
        <v>10</v>
      </c>
      <c r="B13" s="23" t="s">
        <v>54</v>
      </c>
      <c r="C13" s="23" t="s">
        <v>67</v>
      </c>
      <c r="D13" s="23" t="s">
        <v>75</v>
      </c>
      <c r="E13" s="23">
        <v>150</v>
      </c>
      <c r="F13" s="23" t="s">
        <v>78</v>
      </c>
      <c r="G13" s="23" t="s">
        <v>5</v>
      </c>
      <c r="H13" s="23" t="s">
        <v>83</v>
      </c>
      <c r="I13" s="23">
        <v>43</v>
      </c>
      <c r="J13" s="23" t="s">
        <v>22</v>
      </c>
      <c r="K13" s="23">
        <v>1</v>
      </c>
      <c r="L13" s="23">
        <v>1</v>
      </c>
      <c r="M13" s="23">
        <v>48.6</v>
      </c>
      <c r="N13" s="23">
        <v>320.7</v>
      </c>
    </row>
    <row r="14" spans="1:14" x14ac:dyDescent="0.3">
      <c r="A14" s="22">
        <v>10.1</v>
      </c>
      <c r="B14" s="22"/>
      <c r="C14" s="22"/>
      <c r="D14" s="22"/>
      <c r="E14" s="22"/>
      <c r="F14" s="22" t="s">
        <v>79</v>
      </c>
      <c r="G14" s="22" t="s">
        <v>5</v>
      </c>
      <c r="H14" s="22" t="s">
        <v>84</v>
      </c>
      <c r="I14" s="22">
        <v>45</v>
      </c>
      <c r="J14" s="22" t="s">
        <v>85</v>
      </c>
      <c r="K14" s="22" t="s">
        <v>86</v>
      </c>
      <c r="L14" s="22">
        <v>1</v>
      </c>
      <c r="M14" s="22">
        <v>44.1</v>
      </c>
      <c r="N14" s="22"/>
    </row>
    <row r="15" spans="1:14" x14ac:dyDescent="0.3">
      <c r="A15" s="23">
        <v>10.199999999999999</v>
      </c>
      <c r="B15" s="23"/>
      <c r="C15" s="23"/>
      <c r="D15" s="23"/>
      <c r="E15" s="23"/>
      <c r="F15" s="23" t="s">
        <v>80</v>
      </c>
      <c r="G15" s="23" t="s">
        <v>5</v>
      </c>
      <c r="H15" s="23" t="s">
        <v>87</v>
      </c>
      <c r="I15" s="23">
        <v>140</v>
      </c>
      <c r="J15" s="23" t="s">
        <v>22</v>
      </c>
      <c r="K15" s="23">
        <v>1</v>
      </c>
      <c r="L15" s="23">
        <v>2</v>
      </c>
      <c r="M15" s="23">
        <v>78</v>
      </c>
      <c r="N15" s="23"/>
    </row>
    <row r="16" spans="1:14" x14ac:dyDescent="0.3">
      <c r="A16" s="22">
        <v>11</v>
      </c>
      <c r="B16" s="22" t="s">
        <v>55</v>
      </c>
      <c r="C16" s="22" t="s">
        <v>68</v>
      </c>
      <c r="D16" s="22" t="s">
        <v>75</v>
      </c>
      <c r="E16" s="22">
        <v>200</v>
      </c>
      <c r="F16" s="22" t="s">
        <v>80</v>
      </c>
      <c r="G16" s="22" t="s">
        <v>5</v>
      </c>
      <c r="H16" s="22" t="s">
        <v>87</v>
      </c>
      <c r="I16" s="22">
        <v>200</v>
      </c>
      <c r="J16" s="22" t="s">
        <v>22</v>
      </c>
      <c r="K16" s="22">
        <v>1</v>
      </c>
      <c r="L16" s="22">
        <v>2</v>
      </c>
      <c r="M16" s="22">
        <v>90</v>
      </c>
      <c r="N16" s="22">
        <v>386</v>
      </c>
    </row>
    <row r="17" spans="1:14" x14ac:dyDescent="0.3">
      <c r="A17" s="23">
        <v>11.1</v>
      </c>
      <c r="B17" s="23"/>
      <c r="C17" s="23"/>
      <c r="D17" s="23"/>
      <c r="E17" s="23"/>
      <c r="F17" s="23" t="s">
        <v>78</v>
      </c>
      <c r="G17" s="23" t="s">
        <v>5</v>
      </c>
      <c r="H17" s="23" t="s">
        <v>83</v>
      </c>
      <c r="I17" s="23">
        <v>20</v>
      </c>
      <c r="J17" s="23" t="s">
        <v>22</v>
      </c>
      <c r="K17" s="23">
        <v>1</v>
      </c>
      <c r="L17" s="23">
        <v>1</v>
      </c>
      <c r="M17" s="23">
        <v>44</v>
      </c>
      <c r="N17" s="23"/>
    </row>
    <row r="18" spans="1:14" x14ac:dyDescent="0.3">
      <c r="A18" s="22">
        <v>11.2</v>
      </c>
      <c r="B18" s="22"/>
      <c r="C18" s="22"/>
      <c r="D18" s="22"/>
      <c r="E18" s="22"/>
      <c r="F18" s="22" t="s">
        <v>81</v>
      </c>
      <c r="G18" s="22" t="s">
        <v>5</v>
      </c>
      <c r="H18" s="22" t="s">
        <v>88</v>
      </c>
      <c r="I18" s="22">
        <v>80</v>
      </c>
      <c r="J18" s="22" t="s">
        <v>89</v>
      </c>
      <c r="K18" s="22">
        <v>1</v>
      </c>
      <c r="L18" s="22">
        <v>1</v>
      </c>
      <c r="M18" s="22">
        <v>52</v>
      </c>
      <c r="N18" s="22"/>
    </row>
    <row r="19" spans="1:14" x14ac:dyDescent="0.3">
      <c r="A19">
        <v>12</v>
      </c>
      <c r="B19" t="s">
        <v>56</v>
      </c>
      <c r="C19" t="s">
        <v>69</v>
      </c>
      <c r="D19" t="s">
        <v>76</v>
      </c>
      <c r="E19">
        <v>800</v>
      </c>
      <c r="F19" t="s">
        <v>78</v>
      </c>
      <c r="G19" t="s">
        <v>82</v>
      </c>
      <c r="H19" t="s">
        <v>83</v>
      </c>
      <c r="I19">
        <v>32</v>
      </c>
      <c r="J19" t="s">
        <v>22</v>
      </c>
      <c r="K19">
        <v>1</v>
      </c>
      <c r="L19">
        <v>1</v>
      </c>
      <c r="M19">
        <v>46.4</v>
      </c>
      <c r="N19">
        <v>846.4</v>
      </c>
    </row>
    <row r="20" spans="1:14" x14ac:dyDescent="0.3">
      <c r="A20" s="8">
        <v>13</v>
      </c>
      <c r="B20" t="s">
        <v>57</v>
      </c>
      <c r="C20" s="25" t="s">
        <v>70</v>
      </c>
      <c r="D20" s="25" t="s">
        <v>77</v>
      </c>
      <c r="E20" s="26">
        <v>400</v>
      </c>
      <c r="H20" s="19" t="str">
        <f>_xlfn.XLOOKUP(ComponentList[[#This Row],[Production technique]],'Cost of Production Techniques'!$C$4:$C$13,'Cost of Production Techniques'!$D$4:$D$13,"")</f>
        <v/>
      </c>
      <c r="K20" s="19" t="str">
        <f>_xlfn.XLOOKUP(ComponentList[[#This Row],[ISO 2768 Accuracy]],'Cost of Production Techniques'!$C$18:$C$21,'Cost of Production Techniques'!$D$18:$D$21,"")</f>
        <v/>
      </c>
      <c r="M20" s="20">
        <f>_xlfn.IFNA((ComponentList[[#This Row],[Amount]]*_xlfn.XLOOKUP(ComponentList[[#This Row],[Production technique]],'Cost of Production Techniques'!$C$4:$C$13,'Cost of Production Techniques'!$E$4:$E$13,NA())+_xlfn.XLOOKUP(ComponentList[[#This Row],['# of clampings]],'Cost of Production Techniques'!$G$4:$G$9,'Cost of Production Techniques'!$I$4:$I$9,NA()))*ComponentList[[#This Row],[Multiplier]],0)</f>
        <v>0</v>
      </c>
      <c r="N20" s="14" cm="1">
        <f t="array" ref="N20">IF(NOT(MOD(ComponentList[[#This Row],['#]],1)),SUM(_xlfn._xlws.FILTER(ComponentList[Manufacturing cost],ROUNDDOWN(ComponentList[[#This Row],['#]],0)=ROUNDDOWN(ComponentList['#],0)))+SUM(_xlfn._xlws.FILTER(ComponentList[Base cost],ROUNDDOWN(ComponentList[[#This Row],['#]],0)=ROUNDDOWN(ComponentList['#],0))),0)</f>
        <v>400</v>
      </c>
    </row>
    <row r="21" spans="1:14" x14ac:dyDescent="0.3">
      <c r="A21" t="s">
        <v>34</v>
      </c>
      <c r="E21" s="15">
        <f>SUBTOTAL(109,ComponentList[Base cost])</f>
        <v>6510</v>
      </c>
      <c r="M21" s="15">
        <f>SUBTOTAL(109,ComponentList[Manufacturing cost])</f>
        <v>403.09999999999997</v>
      </c>
      <c r="N21" s="14">
        <f>SUBTOTAL(109,ComponentList[Total cost])</f>
        <v>6913.0999999999995</v>
      </c>
    </row>
    <row r="25" spans="1:14" x14ac:dyDescent="0.3">
      <c r="B25" s="21" t="s">
        <v>91</v>
      </c>
      <c r="C25" s="21">
        <v>6913.1</v>
      </c>
    </row>
    <row r="26" spans="1:14" x14ac:dyDescent="0.3">
      <c r="B26" s="21" t="s">
        <v>92</v>
      </c>
      <c r="C26" s="24">
        <v>21000</v>
      </c>
    </row>
    <row r="27" spans="1:14" x14ac:dyDescent="0.3">
      <c r="B27" s="21" t="s">
        <v>93</v>
      </c>
      <c r="C27" s="21">
        <f>SUM(C25,C26)</f>
        <v>27913.1</v>
      </c>
    </row>
  </sheetData>
  <mergeCells count="3">
    <mergeCell ref="A1:M1"/>
    <mergeCell ref="A2:E2"/>
    <mergeCell ref="F2:N2"/>
  </mergeCells>
  <conditionalFormatting sqref="A14:B15 A4:A13 A17:B18 A16 A19 F4:L12">
    <cfRule type="expression" dxfId="1" priority="3">
      <formula>ISODD(ROUNDDOWN($A4,0))</formula>
    </cfRule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17CC2C3-0C8C-4E4A-9351-2B8DA29490C5}">
          <x14:formula1>
            <xm:f>'Cost of Production Techniques'!$C$4:$C$13</xm:f>
          </x14:formula1>
          <xm:sqref>F4:F12 F20</xm:sqref>
        </x14:dataValidation>
        <x14:dataValidation type="list" allowBlank="1" showInputMessage="1" showErrorMessage="1" xr:uid="{E96BB3D4-2050-40E5-9AA1-8BC2B97DC6BA}">
          <x14:formula1>
            <xm:f>'Cost of Production Techniques'!$C$18:$C$21</xm:f>
          </x14:formula1>
          <xm:sqref>J4:J12 J20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A2D5-F700-4B61-93A8-3142D081196A}">
  <dimension ref="C1:I21"/>
  <sheetViews>
    <sheetView zoomScale="81" zoomScaleNormal="54" workbookViewId="0">
      <selection activeCell="F35" sqref="F35"/>
    </sheetView>
  </sheetViews>
  <sheetFormatPr defaultRowHeight="14.4" x14ac:dyDescent="0.3"/>
  <cols>
    <col min="3" max="3" width="42.33203125" bestFit="1" customWidth="1"/>
    <col min="4" max="4" width="25.77734375" bestFit="1" customWidth="1"/>
    <col min="5" max="5" width="15.6640625" bestFit="1" customWidth="1"/>
    <col min="6" max="6" width="13.44140625" customWidth="1"/>
    <col min="7" max="7" width="26.21875" bestFit="1" customWidth="1"/>
    <col min="8" max="8" width="15.88671875" bestFit="1" customWidth="1"/>
    <col min="9" max="9" width="16.5546875" bestFit="1" customWidth="1"/>
    <col min="14" max="14" width="23.6640625" customWidth="1"/>
    <col min="15" max="15" width="22.88671875" customWidth="1"/>
    <col min="16" max="16" width="15.6640625" customWidth="1"/>
    <col min="17" max="17" width="16.33203125" customWidth="1"/>
    <col min="18" max="18" width="21" customWidth="1"/>
    <col min="19" max="19" width="21.6640625" customWidth="1"/>
  </cols>
  <sheetData>
    <row r="1" spans="3:9" x14ac:dyDescent="0.3">
      <c r="D1" s="1"/>
      <c r="G1" s="1"/>
    </row>
    <row r="2" spans="3:9" x14ac:dyDescent="0.3">
      <c r="D2" s="1"/>
      <c r="F2" s="1"/>
      <c r="G2" s="1"/>
      <c r="I2" s="2"/>
    </row>
    <row r="3" spans="3:9" ht="28.8" x14ac:dyDescent="0.3">
      <c r="C3" s="1" t="s">
        <v>95</v>
      </c>
      <c r="D3" s="1" t="s">
        <v>96</v>
      </c>
      <c r="E3" s="1" t="s">
        <v>97</v>
      </c>
      <c r="F3" t="s">
        <v>94</v>
      </c>
      <c r="G3" s="3" t="s">
        <v>10</v>
      </c>
      <c r="H3" s="1" t="s">
        <v>11</v>
      </c>
      <c r="I3" s="1" t="s">
        <v>12</v>
      </c>
    </row>
    <row r="4" spans="3:9" x14ac:dyDescent="0.3">
      <c r="C4" t="s">
        <v>35</v>
      </c>
      <c r="D4" s="5" t="s">
        <v>13</v>
      </c>
      <c r="E4" s="7">
        <v>0.2</v>
      </c>
      <c r="G4">
        <v>1</v>
      </c>
      <c r="H4" s="6">
        <v>40</v>
      </c>
      <c r="I4" s="6">
        <f>SUM($H$4:H4)</f>
        <v>40</v>
      </c>
    </row>
    <row r="5" spans="3:9" x14ac:dyDescent="0.3">
      <c r="C5" t="s">
        <v>36</v>
      </c>
      <c r="D5" s="5" t="s">
        <v>14</v>
      </c>
      <c r="E5" s="7">
        <v>0.2</v>
      </c>
      <c r="G5">
        <v>2</v>
      </c>
      <c r="H5" s="6">
        <v>10</v>
      </c>
      <c r="I5" s="6">
        <f>SUM($H$4:H5)</f>
        <v>50</v>
      </c>
    </row>
    <row r="6" spans="3:9" x14ac:dyDescent="0.3">
      <c r="C6" t="s">
        <v>37</v>
      </c>
      <c r="D6" s="5" t="s">
        <v>13</v>
      </c>
      <c r="E6" s="7">
        <v>0.15</v>
      </c>
      <c r="G6">
        <v>3</v>
      </c>
      <c r="H6" s="6">
        <v>20</v>
      </c>
      <c r="I6" s="6">
        <f>SUM($H$4:H6)</f>
        <v>70</v>
      </c>
    </row>
    <row r="7" spans="3:9" x14ac:dyDescent="0.3">
      <c r="C7" t="s">
        <v>38</v>
      </c>
      <c r="D7" s="5" t="s">
        <v>14</v>
      </c>
      <c r="E7" s="7">
        <v>0.25</v>
      </c>
      <c r="G7">
        <v>4</v>
      </c>
      <c r="H7" s="6">
        <v>30</v>
      </c>
      <c r="I7" s="6">
        <f>SUM($H$4:H7)</f>
        <v>100</v>
      </c>
    </row>
    <row r="8" spans="3:9" x14ac:dyDescent="0.3">
      <c r="C8" t="s">
        <v>39</v>
      </c>
      <c r="D8" s="5" t="s">
        <v>15</v>
      </c>
      <c r="E8" s="7">
        <v>0.2</v>
      </c>
      <c r="G8">
        <v>5</v>
      </c>
      <c r="H8" s="6">
        <v>40</v>
      </c>
      <c r="I8" s="6">
        <f>SUM($H$4:H8)</f>
        <v>140</v>
      </c>
    </row>
    <row r="9" spans="3:9" x14ac:dyDescent="0.3">
      <c r="C9" t="s">
        <v>6</v>
      </c>
      <c r="D9" s="5" t="s">
        <v>16</v>
      </c>
      <c r="E9" s="7">
        <v>0.15</v>
      </c>
      <c r="G9">
        <v>6</v>
      </c>
      <c r="H9" s="6">
        <v>50</v>
      </c>
      <c r="I9" s="6">
        <f>SUM($H$4:H9)</f>
        <v>190</v>
      </c>
    </row>
    <row r="10" spans="3:9" x14ac:dyDescent="0.3">
      <c r="C10" t="s">
        <v>7</v>
      </c>
      <c r="D10" s="5" t="s">
        <v>17</v>
      </c>
      <c r="E10" s="7">
        <v>0.2</v>
      </c>
      <c r="H10" s="6"/>
      <c r="I10" s="6"/>
    </row>
    <row r="11" spans="3:9" x14ac:dyDescent="0.3">
      <c r="C11" t="s">
        <v>8</v>
      </c>
      <c r="D11" s="5" t="s">
        <v>14</v>
      </c>
      <c r="E11" s="7">
        <v>0.3</v>
      </c>
      <c r="H11" s="6"/>
      <c r="I11" s="6"/>
    </row>
    <row r="12" spans="3:9" x14ac:dyDescent="0.3">
      <c r="C12" t="s">
        <v>40</v>
      </c>
      <c r="D12" s="5" t="s">
        <v>18</v>
      </c>
      <c r="E12" s="7">
        <v>0.15</v>
      </c>
      <c r="H12" s="6"/>
      <c r="I12" s="6"/>
    </row>
    <row r="13" spans="3:9" x14ac:dyDescent="0.3">
      <c r="C13" t="s">
        <v>9</v>
      </c>
      <c r="D13" s="5" t="s">
        <v>19</v>
      </c>
      <c r="E13" s="7">
        <v>0.5</v>
      </c>
    </row>
    <row r="15" spans="3:9" x14ac:dyDescent="0.3">
      <c r="F15" s="4"/>
    </row>
    <row r="16" spans="3:9" x14ac:dyDescent="0.3">
      <c r="F16" s="4"/>
    </row>
    <row r="17" spans="3:4" x14ac:dyDescent="0.3">
      <c r="C17" s="1" t="s">
        <v>20</v>
      </c>
      <c r="D17" s="1" t="s">
        <v>25</v>
      </c>
    </row>
    <row r="18" spans="3:4" x14ac:dyDescent="0.3">
      <c r="C18" t="s">
        <v>21</v>
      </c>
      <c r="D18">
        <v>2</v>
      </c>
    </row>
    <row r="19" spans="3:4" x14ac:dyDescent="0.3">
      <c r="C19" t="s">
        <v>22</v>
      </c>
      <c r="D19">
        <v>1</v>
      </c>
    </row>
    <row r="20" spans="3:4" x14ac:dyDescent="0.3">
      <c r="C20" t="s">
        <v>23</v>
      </c>
      <c r="D20">
        <v>0.9</v>
      </c>
    </row>
    <row r="21" spans="3:4" x14ac:dyDescent="0.3">
      <c r="C21" t="s">
        <v>24</v>
      </c>
      <c r="D21">
        <v>0.75</v>
      </c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Component List</vt:lpstr>
      <vt:lpstr>Cost of Production Techniques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Antje Goossens</dc:creator>
  <cp:lastModifiedBy>Jules Beirnaert</cp:lastModifiedBy>
  <dcterms:created xsi:type="dcterms:W3CDTF">2023-11-22T12:32:58Z</dcterms:created>
  <dcterms:modified xsi:type="dcterms:W3CDTF">2026-04-02T06:27:35Z</dcterms:modified>
</cp:coreProperties>
</file>