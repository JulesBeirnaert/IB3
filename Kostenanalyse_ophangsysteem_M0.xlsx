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ocuments\IB3 robot\DIT INDIENEN\Documenten om in te dienen\"/>
    </mc:Choice>
  </mc:AlternateContent>
  <xr:revisionPtr revIDLastSave="0" documentId="13_ncr:1_{CF3A6B71-F4C8-4D8F-AB6C-4891912DE3E9}" xr6:coauthVersionLast="47" xr6:coauthVersionMax="47" xr10:uidLastSave="{00000000-0000-0000-0000-000000000000}"/>
  <bookViews>
    <workbookView xWindow="-103" yWindow="-103" windowWidth="19543" windowHeight="12377" xr2:uid="{BFD07E40-9063-403C-AE72-22C04B9975E4}"/>
  </bookViews>
  <sheets>
    <sheet name="Component List" sheetId="3" r:id="rId1"/>
    <sheet name="Cost of Production Techniq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3" l="1"/>
  <c r="L30" i="3"/>
  <c r="N30" i="3"/>
  <c r="I29" i="3"/>
  <c r="L29" i="3"/>
  <c r="N29" i="3"/>
  <c r="F25" i="3"/>
  <c r="F24" i="3"/>
  <c r="F31" i="3" s="1"/>
  <c r="I28" i="3"/>
  <c r="L28" i="3"/>
  <c r="N28" i="3" s="1"/>
  <c r="I27" i="3"/>
  <c r="L27" i="3"/>
  <c r="N27" i="3" s="1"/>
  <c r="I26" i="3"/>
  <c r="L26" i="3"/>
  <c r="N26" i="3"/>
  <c r="I25" i="3"/>
  <c r="L25" i="3"/>
  <c r="N25" i="3" s="1"/>
  <c r="I24" i="3"/>
  <c r="L24" i="3"/>
  <c r="N24" i="3" s="1"/>
  <c r="I7" i="3"/>
  <c r="L7" i="3"/>
  <c r="N7" i="3" s="1"/>
  <c r="O7" i="3" s="1" a="1"/>
  <c r="O7" i="3" s="1"/>
  <c r="I21" i="3"/>
  <c r="L21" i="3"/>
  <c r="N21" i="3" s="1"/>
  <c r="I22" i="3"/>
  <c r="L22" i="3"/>
  <c r="N22" i="3" s="1"/>
  <c r="I20" i="3"/>
  <c r="L20" i="3"/>
  <c r="N20" i="3" s="1"/>
  <c r="O30" i="3" s="1" a="1"/>
  <c r="O30" i="3" s="1"/>
  <c r="I23" i="3"/>
  <c r="L23" i="3"/>
  <c r="N23" i="3" s="1"/>
  <c r="J16" i="3"/>
  <c r="I19" i="3"/>
  <c r="L19" i="3"/>
  <c r="N19" i="3" s="1"/>
  <c r="I17" i="3"/>
  <c r="L17" i="3"/>
  <c r="N17" i="3" s="1"/>
  <c r="J10" i="3"/>
  <c r="I13" i="3"/>
  <c r="L13" i="3"/>
  <c r="N13" i="3" s="1"/>
  <c r="I11" i="3"/>
  <c r="L11" i="3"/>
  <c r="N11" i="3" s="1"/>
  <c r="O11" i="3" s="1" a="1"/>
  <c r="O11" i="3" s="1"/>
  <c r="I6" i="3"/>
  <c r="L6" i="3"/>
  <c r="N6" i="3" s="1"/>
  <c r="I5" i="3"/>
  <c r="L5" i="3"/>
  <c r="N5" i="3" s="1"/>
  <c r="I9" i="3"/>
  <c r="L9" i="3"/>
  <c r="N9" i="3" s="1"/>
  <c r="I18" i="3"/>
  <c r="L18" i="3"/>
  <c r="N18" i="3" s="1"/>
  <c r="O9" i="3" a="1"/>
  <c r="O9" i="3" s="1"/>
  <c r="L4" i="3"/>
  <c r="N4" i="3" s="1"/>
  <c r="L8" i="3"/>
  <c r="N8" i="3" s="1"/>
  <c r="L10" i="3"/>
  <c r="L12" i="3"/>
  <c r="N12" i="3" s="1"/>
  <c r="L14" i="3"/>
  <c r="N14" i="3" s="1"/>
  <c r="O5" i="3" s="1" a="1"/>
  <c r="O5" i="3" s="1"/>
  <c r="L15" i="3"/>
  <c r="N15" i="3" s="1"/>
  <c r="O13" i="3" s="1" a="1"/>
  <c r="O13" i="3" s="1"/>
  <c r="L16" i="3"/>
  <c r="I4" i="3"/>
  <c r="I8" i="3"/>
  <c r="I10" i="3"/>
  <c r="I12" i="3"/>
  <c r="I14" i="3"/>
  <c r="I15" i="3"/>
  <c r="I16" i="3"/>
  <c r="I4" i="2"/>
  <c r="I6" i="2"/>
  <c r="I7" i="2"/>
  <c r="I8" i="2"/>
  <c r="I9" i="2"/>
  <c r="I5" i="2"/>
  <c r="O29" i="3" l="1" a="1"/>
  <c r="O29" i="3" s="1"/>
  <c r="O28" i="3" a="1"/>
  <c r="O28" i="3" s="1"/>
  <c r="O26" i="3" a="1"/>
  <c r="O26" i="3" s="1"/>
  <c r="O27" i="3" a="1"/>
  <c r="O27" i="3" s="1"/>
  <c r="O24" i="3" a="1"/>
  <c r="O24" i="3" s="1"/>
  <c r="O25" i="3" a="1"/>
  <c r="O25" i="3" s="1"/>
  <c r="O20" i="3" a="1"/>
  <c r="O20" i="3" s="1"/>
  <c r="O21" i="3" a="1"/>
  <c r="O21" i="3" s="1"/>
  <c r="O22" i="3" a="1"/>
  <c r="O22" i="3" s="1"/>
  <c r="N16" i="3"/>
  <c r="O16" i="3" s="1" a="1"/>
  <c r="O16" i="3" s="1"/>
  <c r="O23" i="3" a="1"/>
  <c r="O23" i="3" s="1"/>
  <c r="O19" i="3" a="1"/>
  <c r="O19" i="3" s="1"/>
  <c r="N10" i="3"/>
  <c r="O6" i="3" s="1" a="1"/>
  <c r="O6" i="3" s="1"/>
  <c r="O17" i="3" a="1"/>
  <c r="O17" i="3" s="1"/>
  <c r="O18" i="3" a="1"/>
  <c r="O18" i="3" s="1"/>
  <c r="O15" i="3" a="1"/>
  <c r="O15" i="3" s="1"/>
  <c r="O12" i="3" a="1"/>
  <c r="O12" i="3" s="1"/>
  <c r="O8" i="3" a="1"/>
  <c r="O8" i="3" s="1"/>
  <c r="O14" i="3" a="1"/>
  <c r="O14" i="3" s="1"/>
  <c r="O4" i="3" a="1"/>
  <c r="O4" i="3" s="1"/>
  <c r="N31" i="3" l="1"/>
  <c r="O10" i="3" a="1"/>
  <c r="O10" i="3" s="1"/>
  <c r="O3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Van Riel</author>
  </authors>
  <commentList>
    <comment ref="A3" authorId="0" shapeId="0" xr:uid="{012DB47D-1E42-4A57-A96A-6792F78F4BBF}">
      <text>
        <r>
          <rPr>
            <b/>
            <sz val="9"/>
            <color indexed="81"/>
            <rFont val="Tahoma"/>
            <family val="2"/>
          </rPr>
          <t>Add numbers after the decimal point to subdivide the item.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Van Riel</author>
  </authors>
  <commentList>
    <comment ref="E6" authorId="0" shapeId="0" xr:uid="{EE964FE2-74CE-486C-9070-6401B60A12DA}">
      <text>
        <r>
          <rPr>
            <b/>
            <sz val="9"/>
            <color indexed="81"/>
            <rFont val="Tahoma"/>
            <family val="2"/>
          </rPr>
          <t>€10 to reduce 10 cm shaft from diameter 50 to 40 mm</t>
        </r>
      </text>
    </comment>
    <comment ref="E7" authorId="0" shapeId="0" xr:uid="{5F72CD11-802C-4124-983C-C79E8646845E}">
      <text>
        <r>
          <rPr>
            <b/>
            <sz val="9"/>
            <color indexed="81"/>
            <rFont val="Tahoma"/>
            <family val="2"/>
          </rPr>
          <t>€30 to finish surface of rough turning</t>
        </r>
      </text>
    </comment>
    <comment ref="E8" authorId="0" shapeId="0" xr:uid="{54910F25-7D1F-46F2-8D21-6DC2FA593A56}">
      <text>
        <r>
          <rPr>
            <b/>
            <sz val="9"/>
            <color indexed="81"/>
            <rFont val="Tahoma"/>
            <family val="2"/>
          </rPr>
          <t>€20 to drill a troughhole trough shaft after turning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<sst xmlns="http://schemas.openxmlformats.org/spreadsheetml/2006/main" count="176" uniqueCount="103">
  <si>
    <t>RDS reference</t>
  </si>
  <si>
    <t>Material</t>
  </si>
  <si>
    <t>Production technique</t>
  </si>
  <si>
    <t>Examples of production techniques</t>
  </si>
  <si>
    <t>Purchase information</t>
  </si>
  <si>
    <t>Extra info</t>
  </si>
  <si>
    <t>Lasercutting</t>
  </si>
  <si>
    <t>Waterjetcutting</t>
  </si>
  <si>
    <t>Grinding</t>
  </si>
  <si>
    <t>3D printing</t>
  </si>
  <si>
    <t>Number of clamping setups (opspanningen)</t>
  </si>
  <si>
    <t>cost per clamping</t>
  </si>
  <si>
    <t>total clamping cost</t>
  </si>
  <si>
    <t>cost per unit</t>
  </si>
  <si>
    <t>Removed volume [cm³]</t>
  </si>
  <si>
    <t>Finished surface [cm²]</t>
  </si>
  <si>
    <t>Linear length of hole (depth) [cm]</t>
  </si>
  <si>
    <t>Length of cut [cm]</t>
  </si>
  <si>
    <t>Length to cut [cm]</t>
  </si>
  <si>
    <t>Cast volume [cm³]</t>
  </si>
  <si>
    <t>Printed volume (incl. material) [cm³]</t>
  </si>
  <si>
    <t>Multipliers for accuracy requirements (ISO 2768)</t>
  </si>
  <si>
    <t>fine</t>
  </si>
  <si>
    <t>medium</t>
  </si>
  <si>
    <t>coarse</t>
  </si>
  <si>
    <t>very coarse</t>
  </si>
  <si>
    <t>Multiplier</t>
  </si>
  <si>
    <t>ISO 2768 Accuracy</t>
  </si>
  <si>
    <t>#</t>
  </si>
  <si>
    <t>Description</t>
  </si>
  <si>
    <t>Purchase link</t>
  </si>
  <si>
    <t>Unit of technique</t>
  </si>
  <si>
    <t>Amount</t>
  </si>
  <si>
    <t># of clampings</t>
  </si>
  <si>
    <t>Manufacturing cost</t>
  </si>
  <si>
    <t>Total</t>
  </si>
  <si>
    <t>Milling (Rough)</t>
  </si>
  <si>
    <t>Milling (Fine)</t>
  </si>
  <si>
    <t>Turning (Rough)</t>
  </si>
  <si>
    <t>Turning (Fine)</t>
  </si>
  <si>
    <t>Drilling</t>
  </si>
  <si>
    <t>Sandcasting</t>
  </si>
  <si>
    <r>
      <t xml:space="preserve">Further engineering needed? </t>
    </r>
    <r>
      <rPr>
        <b/>
        <sz val="12"/>
        <color theme="1"/>
        <rFont val="Calibri"/>
        <family val="2"/>
        <scheme val="minor"/>
      </rPr>
      <t xml:space="preserve">(Input </t>
    </r>
    <r>
      <rPr>
        <b/>
        <u/>
        <sz val="12"/>
        <color theme="1"/>
        <rFont val="Calibri"/>
        <family val="2"/>
        <scheme val="minor"/>
      </rPr>
      <t>underscored</t>
    </r>
    <r>
      <rPr>
        <b/>
        <sz val="12"/>
        <color theme="1"/>
        <rFont val="Calibri"/>
        <family val="2"/>
        <scheme val="minor"/>
      </rPr>
      <t xml:space="preserve"> columns, columns in </t>
    </r>
    <r>
      <rPr>
        <b/>
        <i/>
        <sz val="12"/>
        <color theme="1"/>
        <rFont val="Calibri"/>
        <family val="2"/>
        <scheme val="minor"/>
      </rPr>
      <t>italics</t>
    </r>
    <r>
      <rPr>
        <b/>
        <sz val="12"/>
        <color theme="1"/>
        <rFont val="Calibri"/>
        <family val="2"/>
        <scheme val="minor"/>
      </rPr>
      <t xml:space="preserve"> are calculated automatically)</t>
    </r>
  </si>
  <si>
    <t>Total cost</t>
  </si>
  <si>
    <t>Base cost</t>
  </si>
  <si>
    <r>
      <t xml:space="preserve">Eductational tool to </t>
    </r>
    <r>
      <rPr>
        <b/>
        <sz val="20"/>
        <color theme="1"/>
        <rFont val="Calibri"/>
        <family val="2"/>
        <scheme val="minor"/>
      </rPr>
      <t>(roughly)</t>
    </r>
    <r>
      <rPr>
        <b/>
        <sz val="24"/>
        <color theme="1"/>
        <rFont val="Calibri"/>
        <family val="2"/>
        <scheme val="minor"/>
      </rPr>
      <t xml:space="preserve"> estimate manufacturing cost</t>
    </r>
  </si>
  <si>
    <t>Verbindingsarm_AGV</t>
  </si>
  <si>
    <t>Bovenste_basisplaat_AGV</t>
  </si>
  <si>
    <t>Onderste_basisplaat_AGV</t>
  </si>
  <si>
    <t>Zijplaat_AGV</t>
  </si>
  <si>
    <t>Voor-/achterplaat_AGV</t>
  </si>
  <si>
    <t>L-vormige dwarsbalk</t>
  </si>
  <si>
    <t>Dwarsligger</t>
  </si>
  <si>
    <t>Rechthoek_dwarsverbinding</t>
  </si>
  <si>
    <t>Vierkant_dwarsverbinding</t>
  </si>
  <si>
    <t>Hoekprofielen_dwarsverbinding</t>
  </si>
  <si>
    <t>M0.UQB2</t>
  </si>
  <si>
    <t>M0.ULL5</t>
  </si>
  <si>
    <t>M0.ULL4</t>
  </si>
  <si>
    <t>M0.ULE3</t>
  </si>
  <si>
    <t>M0.ULE2</t>
  </si>
  <si>
    <t>M0.ULL2</t>
  </si>
  <si>
    <t>M0.ULL3</t>
  </si>
  <si>
    <t>M0.ULL1</t>
  </si>
  <si>
    <t>M0.ULK2</t>
  </si>
  <si>
    <t>M0.ULK1</t>
  </si>
  <si>
    <t>Staal</t>
  </si>
  <si>
    <t>Limtrade</t>
  </si>
  <si>
    <t>zelfde plaat als hierboven</t>
  </si>
  <si>
    <t>16 stuks/module</t>
  </si>
  <si>
    <t>U-profiel geleiding</t>
  </si>
  <si>
    <t>flensplaat+bearing</t>
  </si>
  <si>
    <t>Winkel.de</t>
  </si>
  <si>
    <t>4 stuks</t>
  </si>
  <si>
    <t>2 stuks/module</t>
  </si>
  <si>
    <t>M0.WRA1</t>
  </si>
  <si>
    <t>M0.UQB1/M0.WQE1</t>
  </si>
  <si>
    <t>Hieronder: aangekochte onderdelen</t>
  </si>
  <si>
    <t>zelfde volume als bij onderste basisplaat</t>
  </si>
  <si>
    <t>Moris</t>
  </si>
  <si>
    <t>?</t>
  </si>
  <si>
    <t>Tallenstockholders</t>
  </si>
  <si>
    <t>Aluminium</t>
  </si>
  <si>
    <t>I-profiel voor kolom HEB240</t>
  </si>
  <si>
    <t>I-profiel horizontale balk HEB240</t>
  </si>
  <si>
    <t>Bout M8 zeksant</t>
  </si>
  <si>
    <t>Bout M8 cilinderkop</t>
  </si>
  <si>
    <t>Bout M16 zeskant</t>
  </si>
  <si>
    <t>6/module         met verzinken</t>
  </si>
  <si>
    <t>3/module         met verzinken</t>
  </si>
  <si>
    <t>M0.ULD1</t>
  </si>
  <si>
    <t>M0.ULE1</t>
  </si>
  <si>
    <t>M0.UQB3</t>
  </si>
  <si>
    <t>M0.UQB4</t>
  </si>
  <si>
    <t>M0.UQB5</t>
  </si>
  <si>
    <t>prijs voor 1 bout</t>
  </si>
  <si>
    <t>Ijzershop</t>
  </si>
  <si>
    <t>Moer DIN M8</t>
  </si>
  <si>
    <t>Moer DIN M16</t>
  </si>
  <si>
    <t>M0.UQB14</t>
  </si>
  <si>
    <t>M0.UQB15</t>
  </si>
  <si>
    <t>prijs voor 1 moer</t>
  </si>
  <si>
    <t>IJzershop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</si>
</sst>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2" applyNumberFormat="1" applyFont="1"/>
    <xf numFmtId="44" fontId="0" fillId="0" borderId="0" xfId="2" applyFont="1" applyAlignment="1">
      <alignment horizontal="left"/>
    </xf>
    <xf numFmtId="165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5" fillId="0" borderId="0" xfId="1"/>
    <xf numFmtId="0" fontId="10" fillId="0" borderId="0" xfId="0" applyFont="1"/>
    <xf numFmtId="49" fontId="11" fillId="0" borderId="0" xfId="0" applyNumberFormat="1" applyFont="1"/>
    <xf numFmtId="49" fontId="12" fillId="0" borderId="0" xfId="0" applyNumberFormat="1" applyFont="1"/>
    <xf numFmtId="49" fontId="8" fillId="0" borderId="1" xfId="0" applyNumberFormat="1" applyFont="1" applyBorder="1"/>
    <xf numFmtId="44" fontId="2" fillId="0" borderId="0" xfId="0" applyNumberFormat="1" applyFont="1"/>
    <xf numFmtId="44" fontId="0" fillId="0" borderId="2" xfId="2" applyFont="1" applyBorder="1"/>
    <xf numFmtId="44" fontId="0" fillId="0" borderId="2" xfId="0" applyNumberFormat="1" applyBorder="1"/>
    <xf numFmtId="0" fontId="14" fillId="0" borderId="0" xfId="0" applyFont="1"/>
    <xf numFmtId="0" fontId="0" fillId="4" borderId="0" xfId="0" applyFill="1"/>
    <xf numFmtId="165" fontId="9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10" fillId="0" borderId="0" xfId="0" applyNumberFormat="1" applyFont="1"/>
    <xf numFmtId="44" fontId="0" fillId="0" borderId="2" xfId="2" applyNumberFormat="1" applyFont="1" applyBorder="1"/>
  </cellXfs>
  <cellStyles count="3">
    <cellStyle name="Currency" xfId="2" builtinId="4"/>
    <cellStyle name="Hyperlink" xfId="1" builtinId="8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  <border diagonalUp="0" diagonalDown="0" outline="0">
        <left/>
        <right style="thin">
          <color theme="8"/>
        </right>
        <top/>
        <bottom/>
      </border>
    </dxf>
    <dxf>
      <numFmt numFmtId="34" formatCode="_-* #,##0.00\ &quot;€&quot;_-;\-* #,##0.00\ &quot;€&quot;_-;_-* &quot;-&quot;??\ &quot;€&quot;_-;_-@_-"/>
      <border diagonalUp="0" diagonalDown="0" outline="0">
        <left/>
        <right style="thin">
          <color theme="8"/>
        </right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  <border diagonalUp="0" diagonalDown="0">
        <left/>
        <right style="thin">
          <color theme="8"/>
        </right>
        <top/>
        <bottom/>
        <vertical/>
        <horizontal/>
      </border>
    </dxf>
    <dxf>
      <font>
        <i/>
      </font>
      <numFmt numFmtId="0" formatCode="General"/>
    </dxf>
    <dxf>
      <font>
        <i/>
      </font>
      <numFmt numFmtId="0" formatCode="General"/>
    </dxf>
    <dxf>
      <border diagonalUp="0" diagonalDown="0">
        <left/>
        <right style="thin">
          <color theme="8"/>
        </right>
        <top/>
        <bottom/>
        <vertical/>
        <horizontal/>
      </border>
    </dxf>
    <dxf>
      <numFmt numFmtId="165" formatCode="0.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30</xdr:row>
      <xdr:rowOff>160020</xdr:rowOff>
    </xdr:from>
    <xdr:to>
      <xdr:col>6</xdr:col>
      <xdr:colOff>1591881</xdr:colOff>
      <xdr:row>60</xdr:row>
      <xdr:rowOff>65522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AF402-02B2-4D2B-2795-177C754F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5280660"/>
          <a:ext cx="8640381" cy="53919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C874E-EB54-4A35-9825-F9ECABB7DE11}" name="ComponentList" displayName="ComponentList" ref="A3:O31" totalsRowCount="1" headerRowDxfId="15">
  <autoFilter ref="A3:O30" xr:uid="{C2AC874E-EB54-4A35-9825-F9ECABB7DE11}"/>
  <sortState xmlns:xlrd2="http://schemas.microsoft.com/office/spreadsheetml/2017/richdata2" ref="A4:O18">
    <sortCondition ref="A3:A18"/>
  </sortState>
  <tableColumns count="15">
    <tableColumn id="1" xr3:uid="{352DFC0F-DB9A-4F90-8E65-FBDC9901D3E9}" name="#" totalsRowLabel="Total" dataDxfId="14"/>
    <tableColumn id="2" xr3:uid="{321D8479-4437-4E68-8477-A85B4051E2DC}" name="Description"/>
    <tableColumn id="3" xr3:uid="{3BBD4B6A-213E-47D3-8F21-FD1C3FB981DF}" name="RDS reference"/>
    <tableColumn id="4" xr3:uid="{BE1C8536-E92B-4619-87D3-212A44DD64D4}" name="Extra info"/>
    <tableColumn id="5" xr3:uid="{6541A640-5027-43E4-BE67-DCC4D661E49A}" name="Purchase link" dataCellStyle="Hyperlink"/>
    <tableColumn id="6" xr3:uid="{C3973739-C0EF-481D-A250-A79ED33D4073}" name="Base cost" totalsRowFunction="sum" dataDxfId="13" totalsRowDxfId="2" dataCellStyle="Currency"/>
    <tableColumn id="7" xr3:uid="{CFFDAA93-3C16-4D2C-B7DD-2186407D5E25}" name="Production technique"/>
    <tableColumn id="8" xr3:uid="{1F75C576-BB36-4560-B2E6-7EB0AA5AFCF8}" name="Material"/>
    <tableColumn id="9" xr3:uid="{1F52B54F-D45B-4C3D-A16A-05B14D329B8E}" name="Unit of technique" dataDxfId="12">
      <calculatedColumnFormula>_xlfn.XLOOKUP(ComponentList[[#This Row],[Production technique]],'Cost of Production Techniques'!$C$4:$C$13,'Cost of Production Techniques'!$D$4:$D$13,"")</calculatedColumnFormula>
    </tableColumn>
    <tableColumn id="10" xr3:uid="{8B292B33-33B6-4516-856E-A3130D8FE5AA}" name="Amount"/>
    <tableColumn id="11" xr3:uid="{ACD20662-26F2-433A-B706-3459B1534B26}" name="ISO 2768 Accuracy"/>
    <tableColumn id="12" xr3:uid="{AD88B757-8110-4B2A-822A-BFC627E9E8EF}" name="Multiplier" dataDxfId="11">
      <calculatedColumnFormula>_xlfn.XLOOKUP(ComponentList[[#This Row],[ISO 2768 Accuracy]],'Cost of Production Techniques'!$C$18:$C$21,'Cost of Production Techniques'!$D$18:$D$21,"")</calculatedColumnFormula>
    </tableColumn>
    <tableColumn id="13" xr3:uid="{4538FC3E-B86B-4D3C-B3AC-09515F134FDE}" name="# of clampings"/>
    <tableColumn id="14" xr3:uid="{7D00F2B7-5460-458B-A3D7-ECE241B76871}" name="Manufacturing cost" totalsRowFunction="sum" dataDxfId="10" totalsRowDxfId="1" dataCellStyle="Currency">
      <calculatedColumnFormula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calculatedColumnFormula>
    </tableColumn>
    <tableColumn id="15" xr3:uid="{D5D82742-C566-4373-8335-8285DE613D01}" name="Total cost" totalsRowFunction="sum" dataDxfId="9" totalsRowDxfId="0">
      <calculatedColumnFormula array="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calculatedColumnFormula>
    </tableColumn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mtrade.nl/wgw-plaat-2000x1000x20-mm-wgw-plaat" TargetMode="External"/><Relationship Id="rId13" Type="http://schemas.openxmlformats.org/officeDocument/2006/relationships/hyperlink" Target="https://www.limtrade.nl/heb-240" TargetMode="External"/><Relationship Id="rId18" Type="http://schemas.openxmlformats.org/officeDocument/2006/relationships/hyperlink" Target="https://ijzershop.nl/zeskantmoer/469-verzinkte-zeskantmoer-m8.html" TargetMode="External"/><Relationship Id="rId3" Type="http://schemas.openxmlformats.org/officeDocument/2006/relationships/hyperlink" Target="https://www.limtrade.nl/wgw-plaat-2000x1000x15-mm-wgw-plaat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limtrade.nl/wgw-hoek-50-x-50-x-5-mm-hoek-gelijk" TargetMode="External"/><Relationship Id="rId12" Type="http://schemas.openxmlformats.org/officeDocument/2006/relationships/hyperlink" Target="https://www.limtrade.nl/aluminium-plaat-2000x1000x1-0-mm-1050a-h14-h24" TargetMode="External"/><Relationship Id="rId17" Type="http://schemas.openxmlformats.org/officeDocument/2006/relationships/hyperlink" Target="https://ijzershop.nl/m16/610-verzinkte-zeskantbout-m16-x-70.html" TargetMode="External"/><Relationship Id="rId2" Type="http://schemas.openxmlformats.org/officeDocument/2006/relationships/hyperlink" Target="https://www.limtrade.nl/wgw-plaat-2000x1000x20-mm-wgw-plaat" TargetMode="External"/><Relationship Id="rId16" Type="http://schemas.openxmlformats.org/officeDocument/2006/relationships/hyperlink" Target="https://ijzershop.nl/m8/658-verzinkte-cilinderkopbout-m8-x-50.html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www.limtrade.nl/wgw-plaat-2000x1000x30-mm-wgw-plaat" TargetMode="External"/><Relationship Id="rId6" Type="http://schemas.openxmlformats.org/officeDocument/2006/relationships/hyperlink" Target="https://www.winkel.de/en/profiles/precision-u-profiles-nbv" TargetMode="External"/><Relationship Id="rId11" Type="http://schemas.openxmlformats.org/officeDocument/2006/relationships/hyperlink" Target="https://www.limtrade.nl/aluminium-plaat-2000x1000x1-0-mm-1050a-h14-h24" TargetMode="External"/><Relationship Id="rId5" Type="http://schemas.openxmlformats.org/officeDocument/2006/relationships/hyperlink" Target="https://www.winkel.de/en/winkel-rollen/typ/axial-bearing-adjustable-shims/4.0784+AP-4" TargetMode="External"/><Relationship Id="rId15" Type="http://schemas.openxmlformats.org/officeDocument/2006/relationships/hyperlink" Target="https://ijzershop.nl/m8/566-verzinkte-zeskantbout-m8-x-60.html" TargetMode="External"/><Relationship Id="rId10" Type="http://schemas.openxmlformats.org/officeDocument/2006/relationships/hyperlink" Target="https://tallenstockholders.co.uk/flat-bar-1" TargetMode="External"/><Relationship Id="rId19" Type="http://schemas.openxmlformats.org/officeDocument/2006/relationships/hyperlink" Target="https://ijzershop.nl/zeskantmoer/472-verzinkte-zeskantmoer-m16.html" TargetMode="External"/><Relationship Id="rId4" Type="http://schemas.openxmlformats.org/officeDocument/2006/relationships/hyperlink" Target="https://www.limtrade.nl/wgw-plaat-2000x1000x15-mm-wgw-plaat" TargetMode="External"/><Relationship Id="rId9" Type="http://schemas.openxmlformats.org/officeDocument/2006/relationships/hyperlink" Target="https://moris.eu/en/product/SSQHRHRO06/hot-rolled-square-bars?WIDTH=150" TargetMode="External"/><Relationship Id="rId14" Type="http://schemas.openxmlformats.org/officeDocument/2006/relationships/hyperlink" Target="https://www.limtrade.nl/heb-240" TargetMode="External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7B27-5F08-4345-AD04-9B47D0500C4E}">
  <dimension ref="A1:O34"/>
  <sheetViews>
    <sheetView tabSelected="1" topLeftCell="A2" workbookViewId="0">
      <selection activeCell="G28" sqref="G28"/>
    </sheetView>
  </sheetViews>
  <sheetFormatPr defaultRowHeight="14.6" x14ac:dyDescent="0.4"/>
  <cols>
    <col min="1" max="1" width="5.23046875" style="8" bestFit="1" customWidth="1"/>
    <col min="2" max="2" width="28.3046875" customWidth="1"/>
    <col min="3" max="3" width="17.4609375" bestFit="1" customWidth="1"/>
    <col min="4" max="4" width="34.53515625" customWidth="1"/>
    <col min="5" max="5" width="15.765625" bestFit="1" customWidth="1"/>
    <col min="6" max="6" width="11.84375" bestFit="1" customWidth="1"/>
    <col min="7" max="7" width="23.765625" bestFit="1" customWidth="1"/>
    <col min="8" max="8" width="11.07421875" bestFit="1" customWidth="1"/>
    <col min="9" max="9" width="28.53515625" bestFit="1" customWidth="1"/>
    <col min="10" max="10" width="10.765625" bestFit="1" customWidth="1"/>
    <col min="11" max="11" width="20.23046875" bestFit="1" customWidth="1"/>
    <col min="12" max="12" width="12.4609375" bestFit="1" customWidth="1"/>
    <col min="13" max="13" width="16.69140625" bestFit="1" customWidth="1"/>
    <col min="14" max="14" width="21.4609375" bestFit="1" customWidth="1"/>
    <col min="15" max="15" width="12.3046875" bestFit="1" customWidth="1"/>
  </cols>
  <sheetData>
    <row r="1" spans="1:15" ht="30.9" x14ac:dyDescent="0.8">
      <c r="A1" s="21" t="s">
        <v>45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5" ht="18.45" x14ac:dyDescent="0.5">
      <c r="A2" s="22" t="s">
        <v>4</v>
      </c>
      <c r="B2" s="22"/>
      <c r="C2" s="22"/>
      <c r="D2" s="22"/>
      <c r="E2" s="22"/>
      <c r="F2" s="22"/>
      <c r="G2" s="23" t="s">
        <v>42</v>
      </c>
      <c r="H2" s="23"/>
      <c r="I2" s="23"/>
      <c r="J2" s="23"/>
      <c r="K2" s="23"/>
      <c r="L2" s="23"/>
      <c r="M2" s="23"/>
      <c r="N2" s="23"/>
      <c r="O2" s="23"/>
    </row>
    <row r="3" spans="1:15" s="9" customFormat="1" ht="15.9" x14ac:dyDescent="0.45">
      <c r="A3" s="10" t="s">
        <v>28</v>
      </c>
      <c r="B3" s="10" t="s">
        <v>29</v>
      </c>
      <c r="C3" s="10" t="s">
        <v>0</v>
      </c>
      <c r="D3" s="10" t="s">
        <v>5</v>
      </c>
      <c r="E3" s="10" t="s">
        <v>30</v>
      </c>
      <c r="F3" s="15" t="s">
        <v>44</v>
      </c>
      <c r="G3" s="13" t="s">
        <v>2</v>
      </c>
      <c r="H3" s="13" t="s">
        <v>1</v>
      </c>
      <c r="I3" s="14" t="s">
        <v>31</v>
      </c>
      <c r="J3" s="13" t="s">
        <v>32</v>
      </c>
      <c r="K3" s="13" t="s">
        <v>27</v>
      </c>
      <c r="L3" s="14" t="s">
        <v>26</v>
      </c>
      <c r="M3" s="13" t="s">
        <v>33</v>
      </c>
      <c r="N3" s="14" t="s">
        <v>34</v>
      </c>
      <c r="O3" s="14" t="s">
        <v>43</v>
      </c>
    </row>
    <row r="4" spans="1:15" x14ac:dyDescent="0.4">
      <c r="A4" s="8">
        <v>1</v>
      </c>
      <c r="B4" t="s">
        <v>47</v>
      </c>
      <c r="C4" s="19" t="s">
        <v>64</v>
      </c>
      <c r="E4" s="11" t="s">
        <v>67</v>
      </c>
      <c r="F4" s="17">
        <v>41.6</v>
      </c>
      <c r="G4" t="s">
        <v>6</v>
      </c>
      <c r="H4" t="s">
        <v>66</v>
      </c>
      <c r="I4" s="12" t="str">
        <f>_xlfn.XLOOKUP(ComponentList[[#This Row],[Production technique]],'Cost of Production Techniques'!$C$4:$C$13,'Cost of Production Techniques'!$D$4:$D$13,"")</f>
        <v>Length of cut [cm]</v>
      </c>
      <c r="J4">
        <v>100</v>
      </c>
      <c r="K4" t="s">
        <v>23</v>
      </c>
      <c r="L4" s="12">
        <f>_xlfn.XLOOKUP(ComponentList[[#This Row],[ISO 2768 Accuracy]],'Cost of Production Techniques'!$C$18:$C$21,'Cost of Production Techniques'!$D$18:$D$21,"")</f>
        <v>1</v>
      </c>
      <c r="M4">
        <v>1</v>
      </c>
      <c r="N4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55</v>
      </c>
      <c r="O4" s="16" cm="1">
        <f t="array" ref="O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247.6</v>
      </c>
    </row>
    <row r="5" spans="1:15" x14ac:dyDescent="0.4">
      <c r="A5" s="8">
        <v>1.1000000000000001</v>
      </c>
      <c r="C5" s="19"/>
      <c r="E5" s="11"/>
      <c r="F5" s="17"/>
      <c r="G5" t="s">
        <v>40</v>
      </c>
      <c r="I5" s="12" t="str">
        <f>_xlfn.XLOOKUP(ComponentList[[#This Row],[Production technique]],'Cost of Production Techniques'!$C$4:$C$13,'Cost of Production Techniques'!$D$4:$D$13,"")</f>
        <v>Linear length of hole (depth) [cm]</v>
      </c>
      <c r="J5">
        <v>2</v>
      </c>
      <c r="K5" t="s">
        <v>23</v>
      </c>
      <c r="L5" s="12">
        <f>_xlfn.XLOOKUP(ComponentList[[#This Row],[ISO 2768 Accuracy]],'Cost of Production Techniques'!$C$18:$C$21,'Cost of Production Techniques'!$D$18:$D$21,"")</f>
        <v>1</v>
      </c>
      <c r="M5">
        <v>1</v>
      </c>
      <c r="N5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40.4</v>
      </c>
      <c r="O5" s="16" cm="1">
        <f t="array" ref="O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6" spans="1:15" x14ac:dyDescent="0.4">
      <c r="A6" s="8">
        <v>1.2</v>
      </c>
      <c r="C6" s="19"/>
      <c r="E6" s="11"/>
      <c r="F6" s="17"/>
      <c r="G6" t="s">
        <v>36</v>
      </c>
      <c r="I6" s="12" t="str">
        <f>_xlfn.XLOOKUP(ComponentList[[#This Row],[Production technique]],'Cost of Production Techniques'!$C$4:$C$13,'Cost of Production Techniques'!$D$4:$D$13,"")</f>
        <v>Removed volume [cm³]</v>
      </c>
      <c r="J6">
        <v>353</v>
      </c>
      <c r="K6" t="s">
        <v>23</v>
      </c>
      <c r="L6" s="12">
        <f>_xlfn.XLOOKUP(ComponentList[[#This Row],[ISO 2768 Accuracy]],'Cost of Production Techniques'!$C$18:$C$21,'Cost of Production Techniques'!$D$18:$D$21,"")</f>
        <v>1</v>
      </c>
      <c r="M6">
        <v>1</v>
      </c>
      <c r="N6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110.60000000000001</v>
      </c>
      <c r="O6" s="16" cm="1">
        <f t="array" ref="O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7" spans="1:15" x14ac:dyDescent="0.4">
      <c r="A7" s="8">
        <v>2</v>
      </c>
      <c r="B7" t="s">
        <v>48</v>
      </c>
      <c r="C7" s="19" t="s">
        <v>65</v>
      </c>
      <c r="D7" t="s">
        <v>68</v>
      </c>
      <c r="E7" s="11" t="s">
        <v>67</v>
      </c>
      <c r="F7" s="17">
        <v>0</v>
      </c>
      <c r="G7" t="s">
        <v>40</v>
      </c>
      <c r="H7" t="s">
        <v>66</v>
      </c>
      <c r="I7" s="12" t="str">
        <f>_xlfn.XLOOKUP(ComponentList[[#This Row],[Production technique]],'Cost of Production Techniques'!$C$4:$C$13,'Cost of Production Techniques'!$D$4:$D$13,"")</f>
        <v>Linear length of hole (depth) [cm]</v>
      </c>
      <c r="J7">
        <v>2</v>
      </c>
      <c r="K7" t="s">
        <v>23</v>
      </c>
      <c r="L7" s="12">
        <f>_xlfn.XLOOKUP(ComponentList[[#This Row],[ISO 2768 Accuracy]],'Cost of Production Techniques'!$C$18:$C$21,'Cost of Production Techniques'!$D$18:$D$21,"")</f>
        <v>1</v>
      </c>
      <c r="M7">
        <v>1</v>
      </c>
      <c r="N7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40.4</v>
      </c>
      <c r="O7" s="16" cm="1">
        <f t="array" ref="O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40.4</v>
      </c>
    </row>
    <row r="8" spans="1:15" x14ac:dyDescent="0.4">
      <c r="A8" s="8">
        <v>3</v>
      </c>
      <c r="B8" t="s">
        <v>46</v>
      </c>
      <c r="C8" s="19" t="s">
        <v>63</v>
      </c>
      <c r="E8" s="11" t="s">
        <v>67</v>
      </c>
      <c r="F8" s="17">
        <v>65.73</v>
      </c>
      <c r="G8" t="s">
        <v>6</v>
      </c>
      <c r="H8" t="s">
        <v>66</v>
      </c>
      <c r="I8" s="12" t="str">
        <f>_xlfn.XLOOKUP(ComponentList[[#This Row],[Production technique]],'Cost of Production Techniques'!$C$4:$C$13,'Cost of Production Techniques'!$D$4:$D$13,"")</f>
        <v>Length of cut [cm]</v>
      </c>
      <c r="J8">
        <v>115</v>
      </c>
      <c r="K8" t="s">
        <v>23</v>
      </c>
      <c r="L8" s="12">
        <f>_xlfn.XLOOKUP(ComponentList[[#This Row],[ISO 2768 Accuracy]],'Cost of Production Techniques'!$C$18:$C$21,'Cost of Production Techniques'!$D$18:$D$21,"")</f>
        <v>1</v>
      </c>
      <c r="M8">
        <v>1</v>
      </c>
      <c r="N8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57.25</v>
      </c>
      <c r="O8" s="16" cm="1">
        <f t="array" ref="O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163.57999999999998</v>
      </c>
    </row>
    <row r="9" spans="1:15" x14ac:dyDescent="0.4">
      <c r="A9" s="8">
        <v>3.1</v>
      </c>
      <c r="C9" s="19"/>
      <c r="E9" s="11"/>
      <c r="F9" s="17"/>
      <c r="G9" t="s">
        <v>40</v>
      </c>
      <c r="I9" s="12" t="str">
        <f>_xlfn.XLOOKUP(ComponentList[[#This Row],[Production technique]],'Cost of Production Techniques'!$C$4:$C$13,'Cost of Production Techniques'!$D$4:$D$13,"")</f>
        <v>Linear length of hole (depth) [cm]</v>
      </c>
      <c r="J9">
        <v>3</v>
      </c>
      <c r="K9" t="s">
        <v>23</v>
      </c>
      <c r="L9" s="12">
        <f>_xlfn.XLOOKUP(ComponentList[[#This Row],[ISO 2768 Accuracy]],'Cost of Production Techniques'!$C$18:$C$21,'Cost of Production Techniques'!$D$18:$D$21,"")</f>
        <v>1</v>
      </c>
      <c r="M9">
        <v>1</v>
      </c>
      <c r="N9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40.6</v>
      </c>
      <c r="O9" s="16" cm="1">
        <f t="array" ref="O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10" spans="1:15" x14ac:dyDescent="0.4">
      <c r="A10" s="8">
        <v>4</v>
      </c>
      <c r="B10" t="s">
        <v>49</v>
      </c>
      <c r="C10" s="19" t="s">
        <v>62</v>
      </c>
      <c r="E10" s="11" t="s">
        <v>67</v>
      </c>
      <c r="F10" s="17">
        <v>7.51</v>
      </c>
      <c r="G10" t="s">
        <v>6</v>
      </c>
      <c r="H10" t="s">
        <v>82</v>
      </c>
      <c r="I10" s="12" t="str">
        <f>_xlfn.XLOOKUP(ComponentList[[#This Row],[Production technique]],'Cost of Production Techniques'!$C$4:$C$13,'Cost of Production Techniques'!$D$4:$D$13,"")</f>
        <v>Length of cut [cm]</v>
      </c>
      <c r="J10">
        <f>(91+100)</f>
        <v>191</v>
      </c>
      <c r="K10" t="s">
        <v>23</v>
      </c>
      <c r="L10" s="12">
        <f>_xlfn.XLOOKUP(ComponentList[[#This Row],[ISO 2768 Accuracy]],'Cost of Production Techniques'!$C$18:$C$21,'Cost of Production Techniques'!$D$18:$D$21,"")</f>
        <v>1</v>
      </c>
      <c r="M10">
        <v>1</v>
      </c>
      <c r="N10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68.650000000000006</v>
      </c>
      <c r="O10" s="16" cm="1">
        <f t="array" ref="O1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116.18000000000002</v>
      </c>
    </row>
    <row r="11" spans="1:15" x14ac:dyDescent="0.4">
      <c r="A11" s="8">
        <v>4.0999999999999996</v>
      </c>
      <c r="C11" s="19"/>
      <c r="E11" s="11"/>
      <c r="F11" s="17"/>
      <c r="G11" t="s">
        <v>40</v>
      </c>
      <c r="I11" s="12" t="str">
        <f>_xlfn.XLOOKUP(ComponentList[[#This Row],[Production technique]],'Cost of Production Techniques'!$C$4:$C$13,'Cost of Production Techniques'!$D$4:$D$13,"")</f>
        <v>Linear length of hole (depth) [cm]</v>
      </c>
      <c r="J11">
        <v>0.1</v>
      </c>
      <c r="K11" t="s">
        <v>23</v>
      </c>
      <c r="L11" s="12">
        <f>_xlfn.XLOOKUP(ComponentList[[#This Row],[ISO 2768 Accuracy]],'Cost of Production Techniques'!$C$18:$C$21,'Cost of Production Techniques'!$D$18:$D$21,"")</f>
        <v>1</v>
      </c>
      <c r="M11">
        <v>1</v>
      </c>
      <c r="N11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40.020000000000003</v>
      </c>
      <c r="O11" s="16" cm="1">
        <f t="array" ref="O1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12" spans="1:15" x14ac:dyDescent="0.4">
      <c r="A12" s="8">
        <v>5</v>
      </c>
      <c r="B12" t="s">
        <v>50</v>
      </c>
      <c r="C12" s="19" t="s">
        <v>61</v>
      </c>
      <c r="D12" t="s">
        <v>68</v>
      </c>
      <c r="E12" s="11" t="s">
        <v>67</v>
      </c>
      <c r="F12" s="17">
        <v>0</v>
      </c>
      <c r="G12" t="s">
        <v>6</v>
      </c>
      <c r="H12" t="s">
        <v>82</v>
      </c>
      <c r="I12" s="12" t="str">
        <f>_xlfn.XLOOKUP(ComponentList[[#This Row],[Production technique]],'Cost of Production Techniques'!$C$4:$C$13,'Cost of Production Techniques'!$D$4:$D$13,"")</f>
        <v>Length of cut [cm]</v>
      </c>
      <c r="J12">
        <v>0</v>
      </c>
      <c r="K12" t="s">
        <v>23</v>
      </c>
      <c r="L12" s="12">
        <f>_xlfn.XLOOKUP(ComponentList[[#This Row],[ISO 2768 Accuracy]],'Cost of Production Techniques'!$C$18:$C$21,'Cost of Production Techniques'!$D$18:$D$21,"")</f>
        <v>1</v>
      </c>
      <c r="M12">
        <v>0</v>
      </c>
      <c r="N12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2" s="16" cm="1">
        <f t="array" ref="O12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13" spans="1:15" x14ac:dyDescent="0.4">
      <c r="A13" s="8">
        <v>5.0999999999999996</v>
      </c>
      <c r="C13" s="19"/>
      <c r="E13" s="11"/>
      <c r="F13" s="17"/>
      <c r="G13" t="s">
        <v>40</v>
      </c>
      <c r="I13" s="12" t="str">
        <f>_xlfn.XLOOKUP(ComponentList[[#This Row],[Production technique]],'Cost of Production Techniques'!$C$4:$C$13,'Cost of Production Techniques'!$D$4:$D$13,"")</f>
        <v>Linear length of hole (depth) [cm]</v>
      </c>
      <c r="J13">
        <v>0</v>
      </c>
      <c r="K13" t="s">
        <v>23</v>
      </c>
      <c r="L13" s="12">
        <f>_xlfn.XLOOKUP(ComponentList[[#This Row],[ISO 2768 Accuracy]],'Cost of Production Techniques'!$C$18:$C$21,'Cost of Production Techniques'!$D$18:$D$21,"")</f>
        <v>1</v>
      </c>
      <c r="M13">
        <v>0</v>
      </c>
      <c r="N13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3" s="16" cm="1">
        <f t="array" ref="O13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14" spans="1:15" x14ac:dyDescent="0.4">
      <c r="A14" s="8">
        <v>6</v>
      </c>
      <c r="B14" t="s">
        <v>51</v>
      </c>
      <c r="C14" s="19" t="s">
        <v>60</v>
      </c>
      <c r="D14" t="s">
        <v>78</v>
      </c>
      <c r="E14" s="11" t="s">
        <v>81</v>
      </c>
      <c r="F14" s="17" t="s">
        <v>80</v>
      </c>
      <c r="G14" t="s">
        <v>40</v>
      </c>
      <c r="H14" t="s">
        <v>66</v>
      </c>
      <c r="I14" s="12" t="str">
        <f>_xlfn.XLOOKUP(ComponentList[[#This Row],[Production technique]],'Cost of Production Techniques'!$C$4:$C$13,'Cost of Production Techniques'!$D$4:$D$13,"")</f>
        <v>Linear length of hole (depth) [cm]</v>
      </c>
      <c r="J14">
        <v>4</v>
      </c>
      <c r="K14" t="s">
        <v>23</v>
      </c>
      <c r="L14" s="12">
        <f>_xlfn.XLOOKUP(ComponentList[[#This Row],[ISO 2768 Accuracy]],'Cost of Production Techniques'!$C$18:$C$21,'Cost of Production Techniques'!$D$18:$D$21,"")</f>
        <v>1</v>
      </c>
      <c r="M14">
        <v>3</v>
      </c>
      <c r="N14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70.8</v>
      </c>
      <c r="O14" s="16" cm="1">
        <f t="array" ref="O1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70.8</v>
      </c>
    </row>
    <row r="15" spans="1:15" x14ac:dyDescent="0.4">
      <c r="A15" s="8">
        <v>7</v>
      </c>
      <c r="B15" s="20" t="s">
        <v>52</v>
      </c>
      <c r="C15" s="19" t="s">
        <v>59</v>
      </c>
      <c r="E15" s="11" t="s">
        <v>79</v>
      </c>
      <c r="F15" s="17" t="s">
        <v>80</v>
      </c>
      <c r="G15" t="s">
        <v>40</v>
      </c>
      <c r="H15" t="s">
        <v>66</v>
      </c>
      <c r="I15" s="12" t="str">
        <f>_xlfn.XLOOKUP(ComponentList[[#This Row],[Production technique]],'Cost of Production Techniques'!$C$4:$C$13,'Cost of Production Techniques'!$D$4:$D$13,"")</f>
        <v>Linear length of hole (depth) [cm]</v>
      </c>
      <c r="J15">
        <v>4</v>
      </c>
      <c r="K15" t="s">
        <v>23</v>
      </c>
      <c r="L15" s="12">
        <f>_xlfn.XLOOKUP(ComponentList[[#This Row],[ISO 2768 Accuracy]],'Cost of Production Techniques'!$C$18:$C$21,'Cost of Production Techniques'!$D$18:$D$21,"")</f>
        <v>1</v>
      </c>
      <c r="M15">
        <v>2</v>
      </c>
      <c r="N15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50.8</v>
      </c>
      <c r="O15" s="16" cm="1">
        <f t="array" ref="O1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50.8</v>
      </c>
    </row>
    <row r="16" spans="1:15" x14ac:dyDescent="0.4">
      <c r="A16" s="8">
        <v>8</v>
      </c>
      <c r="B16" t="s">
        <v>53</v>
      </c>
      <c r="C16" s="19" t="s">
        <v>58</v>
      </c>
      <c r="E16" s="11" t="s">
        <v>67</v>
      </c>
      <c r="F16" s="17">
        <v>36.19</v>
      </c>
      <c r="G16" t="s">
        <v>6</v>
      </c>
      <c r="H16" t="s">
        <v>66</v>
      </c>
      <c r="I16" s="12" t="str">
        <f>_xlfn.XLOOKUP(ComponentList[[#This Row],[Production technique]],'Cost of Production Techniques'!$C$4:$C$13,'Cost of Production Techniques'!$D$4:$D$13,"")</f>
        <v>Length of cut [cm]</v>
      </c>
      <c r="J16">
        <f>(45+80)</f>
        <v>125</v>
      </c>
      <c r="K16" t="s">
        <v>23</v>
      </c>
      <c r="L16" s="12">
        <f>_xlfn.XLOOKUP(ComponentList[[#This Row],[ISO 2768 Accuracy]],'Cost of Production Techniques'!$C$18:$C$21,'Cost of Production Techniques'!$D$18:$D$21,"")</f>
        <v>1</v>
      </c>
      <c r="M16">
        <v>1</v>
      </c>
      <c r="N16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58.75</v>
      </c>
      <c r="O16" s="16" cm="1">
        <f t="array" ref="O1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135.24</v>
      </c>
    </row>
    <row r="17" spans="1:15" x14ac:dyDescent="0.4">
      <c r="A17" s="8">
        <v>8.1</v>
      </c>
      <c r="C17" s="19"/>
      <c r="E17" s="11"/>
      <c r="F17" s="17"/>
      <c r="G17" t="s">
        <v>40</v>
      </c>
      <c r="I17" s="12" t="str">
        <f>_xlfn.XLOOKUP(ComponentList[[#This Row],[Production technique]],'Cost of Production Techniques'!$C$4:$C$13,'Cost of Production Techniques'!$D$4:$D$13,"")</f>
        <v>Linear length of hole (depth) [cm]</v>
      </c>
      <c r="J17">
        <v>1.5</v>
      </c>
      <c r="K17" t="s">
        <v>23</v>
      </c>
      <c r="L17" s="12">
        <f>_xlfn.XLOOKUP(ComponentList[[#This Row],[ISO 2768 Accuracy]],'Cost of Production Techniques'!$C$18:$C$21,'Cost of Production Techniques'!$D$18:$D$21,"")</f>
        <v>1</v>
      </c>
      <c r="M17">
        <v>1</v>
      </c>
      <c r="N17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40.299999999999997</v>
      </c>
      <c r="O17" s="16" cm="1">
        <f t="array" ref="O1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18" spans="1:15" x14ac:dyDescent="0.4">
      <c r="A18" s="8">
        <v>9</v>
      </c>
      <c r="B18" t="s">
        <v>54</v>
      </c>
      <c r="C18" t="s">
        <v>57</v>
      </c>
      <c r="D18" t="s">
        <v>68</v>
      </c>
      <c r="E18" s="11" t="s">
        <v>67</v>
      </c>
      <c r="F18" s="17">
        <v>0</v>
      </c>
      <c r="G18" t="s">
        <v>6</v>
      </c>
      <c r="H18" t="s">
        <v>66</v>
      </c>
      <c r="I18" s="12" t="str">
        <f>_xlfn.XLOOKUP(ComponentList[[#This Row],[Production technique]],'Cost of Production Techniques'!$C$4:$C$13,'Cost of Production Techniques'!$D$4:$D$13,"")</f>
        <v>Length of cut [cm]</v>
      </c>
      <c r="J18">
        <v>0</v>
      </c>
      <c r="K18" t="s">
        <v>23</v>
      </c>
      <c r="L18" s="12">
        <f>_xlfn.XLOOKUP(ComponentList[[#This Row],[ISO 2768 Accuracy]],'Cost of Production Techniques'!$C$18:$C$21,'Cost of Production Techniques'!$D$18:$D$21,"")</f>
        <v>1</v>
      </c>
      <c r="M18">
        <v>0</v>
      </c>
      <c r="N18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8" s="16" cm="1">
        <f t="array" ref="O1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19" spans="1:15" x14ac:dyDescent="0.4">
      <c r="A19" s="8">
        <v>9.1</v>
      </c>
      <c r="E19" s="11"/>
      <c r="F19" s="17"/>
      <c r="G19" t="s">
        <v>40</v>
      </c>
      <c r="I19" s="12" t="str">
        <f>_xlfn.XLOOKUP(ComponentList[[#This Row],[Production technique]],'Cost of Production Techniques'!$C$4:$C$13,'Cost of Production Techniques'!$D$4:$D$13,"")</f>
        <v>Linear length of hole (depth) [cm]</v>
      </c>
      <c r="J19">
        <v>0</v>
      </c>
      <c r="K19" t="s">
        <v>23</v>
      </c>
      <c r="L19" s="12">
        <f>_xlfn.XLOOKUP(ComponentList[[#This Row],[ISO 2768 Accuracy]],'Cost of Production Techniques'!$C$18:$C$21,'Cost of Production Techniques'!$D$18:$D$21,"")</f>
        <v>1</v>
      </c>
      <c r="M19">
        <v>0</v>
      </c>
      <c r="N19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9" s="16" cm="1">
        <f t="array" ref="O1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20" spans="1:15" x14ac:dyDescent="0.4">
      <c r="D20" s="1" t="s">
        <v>77</v>
      </c>
      <c r="E20" s="11"/>
      <c r="F20" s="17"/>
      <c r="I20" s="12" t="str">
        <f>_xlfn.XLOOKUP(ComponentList[[#This Row],[Production technique]],'Cost of Production Techniques'!$C$4:$C$13,'Cost of Production Techniques'!$D$4:$D$13,"")</f>
        <v/>
      </c>
      <c r="L20" s="12" t="str">
        <f>_xlfn.XLOOKUP(ComponentList[[#This Row],[ISO 2768 Accuracy]],'Cost of Production Techniques'!$C$18:$C$21,'Cost of Production Techniques'!$D$18:$D$21,"")</f>
        <v/>
      </c>
      <c r="N20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0" s="16" cm="1">
        <f t="array" ref="O2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6572.57</v>
      </c>
    </row>
    <row r="21" spans="1:15" x14ac:dyDescent="0.4">
      <c r="A21" s="8">
        <v>10</v>
      </c>
      <c r="B21" t="s">
        <v>55</v>
      </c>
      <c r="C21" t="s">
        <v>56</v>
      </c>
      <c r="D21" t="s">
        <v>69</v>
      </c>
      <c r="E21" s="11" t="s">
        <v>67</v>
      </c>
      <c r="F21" s="17">
        <v>96.96</v>
      </c>
      <c r="G21" t="s">
        <v>40</v>
      </c>
      <c r="H21" t="s">
        <v>66</v>
      </c>
      <c r="I21" s="12" t="str">
        <f>_xlfn.XLOOKUP(ComponentList[[#This Row],[Production technique]],'Cost of Production Techniques'!$C$4:$C$13,'Cost of Production Techniques'!$D$4:$D$13,"")</f>
        <v>Linear length of hole (depth) [cm]</v>
      </c>
      <c r="J21">
        <v>0.5</v>
      </c>
      <c r="K21" t="s">
        <v>23</v>
      </c>
      <c r="L21" s="12">
        <f>_xlfn.XLOOKUP(ComponentList[[#This Row],[ISO 2768 Accuracy]],'Cost of Production Techniques'!$C$18:$C$21,'Cost of Production Techniques'!$D$18:$D$21,"")</f>
        <v>1</v>
      </c>
      <c r="M21">
        <v>1</v>
      </c>
      <c r="N21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40.1</v>
      </c>
      <c r="O21" s="16" cm="1">
        <f t="array" ref="O2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137.06</v>
      </c>
    </row>
    <row r="22" spans="1:15" x14ac:dyDescent="0.4">
      <c r="A22" s="8">
        <v>11</v>
      </c>
      <c r="B22" t="s">
        <v>71</v>
      </c>
      <c r="C22" t="s">
        <v>76</v>
      </c>
      <c r="D22" t="s">
        <v>73</v>
      </c>
      <c r="E22" s="11" t="s">
        <v>72</v>
      </c>
      <c r="F22" s="17" t="s">
        <v>80</v>
      </c>
      <c r="I22" s="12" t="str">
        <f>_xlfn.XLOOKUP(ComponentList[[#This Row],[Production technique]],'Cost of Production Techniques'!$C$4:$C$13,'Cost of Production Techniques'!$D$4:$D$13,"")</f>
        <v/>
      </c>
      <c r="L22" s="12" t="str">
        <f>_xlfn.XLOOKUP(ComponentList[[#This Row],[ISO 2768 Accuracy]],'Cost of Production Techniques'!$C$18:$C$21,'Cost of Production Techniques'!$D$18:$D$21,"")</f>
        <v/>
      </c>
      <c r="N22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2" s="16" cm="1">
        <f t="array" ref="O22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23" spans="1:15" x14ac:dyDescent="0.4">
      <c r="A23" s="8">
        <v>12</v>
      </c>
      <c r="B23" t="s">
        <v>70</v>
      </c>
      <c r="C23" t="s">
        <v>75</v>
      </c>
      <c r="D23" t="s">
        <v>74</v>
      </c>
      <c r="E23" s="11" t="s">
        <v>72</v>
      </c>
      <c r="F23" s="17" t="s">
        <v>80</v>
      </c>
      <c r="G23" t="s">
        <v>40</v>
      </c>
      <c r="H23" t="s">
        <v>66</v>
      </c>
      <c r="I23" s="12" t="str">
        <f>_xlfn.XLOOKUP(ComponentList[[#This Row],[Production technique]],'Cost of Production Techniques'!$C$4:$C$13,'Cost of Production Techniques'!$D$4:$D$13,"")</f>
        <v>Linear length of hole (depth) [cm]</v>
      </c>
      <c r="J23">
        <v>1.2</v>
      </c>
      <c r="K23" t="s">
        <v>22</v>
      </c>
      <c r="L23" s="12">
        <f>_xlfn.XLOOKUP(ComponentList[[#This Row],[ISO 2768 Accuracy]],'Cost of Production Techniques'!$C$18:$C$21,'Cost of Production Techniques'!$D$18:$D$21,"")</f>
        <v>2</v>
      </c>
      <c r="M23">
        <v>1</v>
      </c>
      <c r="N23" s="17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80.48</v>
      </c>
      <c r="O23" s="16" cm="1">
        <f t="array" ref="O23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80.48</v>
      </c>
    </row>
    <row r="24" spans="1:15" x14ac:dyDescent="0.4">
      <c r="B24" t="s">
        <v>83</v>
      </c>
      <c r="C24" t="s">
        <v>90</v>
      </c>
      <c r="D24" t="s">
        <v>88</v>
      </c>
      <c r="E24" s="11" t="s">
        <v>67</v>
      </c>
      <c r="F24" s="17">
        <f>863.9*6</f>
        <v>5183.3999999999996</v>
      </c>
      <c r="G24" t="s">
        <v>40</v>
      </c>
      <c r="H24" t="s">
        <v>66</v>
      </c>
      <c r="I24" s="24" t="str">
        <f>_xlfn.XLOOKUP(ComponentList[[#This Row],[Production technique]],'Cost of Production Techniques'!$C$4:$C$13,'Cost of Production Techniques'!$D$4:$D$13,"")</f>
        <v>Linear length of hole (depth) [cm]</v>
      </c>
      <c r="J24">
        <v>1.7</v>
      </c>
      <c r="K24" t="s">
        <v>23</v>
      </c>
      <c r="L24" s="24">
        <f>_xlfn.XLOOKUP(ComponentList[[#This Row],[ISO 2768 Accuracy]],'Cost of Production Techniques'!$C$18:$C$21,'Cost of Production Techniques'!$D$18:$D$21,"")</f>
        <v>1</v>
      </c>
      <c r="M24">
        <v>1</v>
      </c>
      <c r="N24" s="25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40.340000000000003</v>
      </c>
      <c r="O24" s="16" cm="1">
        <f t="array" ref="O2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6572.57</v>
      </c>
    </row>
    <row r="25" spans="1:15" x14ac:dyDescent="0.4">
      <c r="B25" t="s">
        <v>84</v>
      </c>
      <c r="C25" t="s">
        <v>91</v>
      </c>
      <c r="D25" t="s">
        <v>89</v>
      </c>
      <c r="E25" s="11" t="s">
        <v>67</v>
      </c>
      <c r="F25" s="17">
        <f>448.57*3</f>
        <v>1345.71</v>
      </c>
      <c r="I25" s="24" t="str">
        <f>_xlfn.XLOOKUP(ComponentList[[#This Row],[Production technique]],'Cost of Production Techniques'!$C$4:$C$13,'Cost of Production Techniques'!$D$4:$D$13,"")</f>
        <v/>
      </c>
      <c r="L25" s="24" t="str">
        <f>_xlfn.XLOOKUP(ComponentList[[#This Row],[ISO 2768 Accuracy]],'Cost of Production Techniques'!$C$18:$C$21,'Cost of Production Techniques'!$D$18:$D$21,"")</f>
        <v/>
      </c>
      <c r="N25" s="25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5" s="16" cm="1">
        <f t="array" ref="O2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6572.57</v>
      </c>
    </row>
    <row r="26" spans="1:15" x14ac:dyDescent="0.4">
      <c r="B26" t="s">
        <v>85</v>
      </c>
      <c r="C26" t="s">
        <v>92</v>
      </c>
      <c r="D26" t="s">
        <v>95</v>
      </c>
      <c r="E26" s="11" t="s">
        <v>96</v>
      </c>
      <c r="F26" s="17">
        <v>0.35</v>
      </c>
      <c r="I26" s="24" t="str">
        <f>_xlfn.XLOOKUP(ComponentList[[#This Row],[Production technique]],'Cost of Production Techniques'!$C$4:$C$13,'Cost of Production Techniques'!$D$4:$D$13,"")</f>
        <v/>
      </c>
      <c r="L26" s="24" t="str">
        <f>_xlfn.XLOOKUP(ComponentList[[#This Row],[ISO 2768 Accuracy]],'Cost of Production Techniques'!$C$18:$C$21,'Cost of Production Techniques'!$D$18:$D$21,"")</f>
        <v/>
      </c>
      <c r="N26" s="25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6" s="16" cm="1">
        <f t="array" ref="O2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6572.57</v>
      </c>
    </row>
    <row r="27" spans="1:15" x14ac:dyDescent="0.4">
      <c r="B27" t="s">
        <v>86</v>
      </c>
      <c r="C27" t="s">
        <v>93</v>
      </c>
      <c r="D27" t="s">
        <v>95</v>
      </c>
      <c r="E27" s="11" t="s">
        <v>96</v>
      </c>
      <c r="F27" s="17">
        <v>0.5</v>
      </c>
      <c r="I27" s="24" t="str">
        <f>_xlfn.XLOOKUP(ComponentList[[#This Row],[Production technique]],'Cost of Production Techniques'!$C$4:$C$13,'Cost of Production Techniques'!$D$4:$D$13,"")</f>
        <v/>
      </c>
      <c r="L27" s="24" t="str">
        <f>_xlfn.XLOOKUP(ComponentList[[#This Row],[ISO 2768 Accuracy]],'Cost of Production Techniques'!$C$18:$C$21,'Cost of Production Techniques'!$D$18:$D$21,"")</f>
        <v/>
      </c>
      <c r="N27" s="25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7" s="16" cm="1">
        <f t="array" ref="O2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6572.57</v>
      </c>
    </row>
    <row r="28" spans="1:15" x14ac:dyDescent="0.4">
      <c r="B28" t="s">
        <v>87</v>
      </c>
      <c r="C28" t="s">
        <v>94</v>
      </c>
      <c r="D28" t="s">
        <v>95</v>
      </c>
      <c r="E28" s="11" t="s">
        <v>96</v>
      </c>
      <c r="F28" s="17">
        <v>1.69</v>
      </c>
      <c r="I28" s="24" t="str">
        <f>_xlfn.XLOOKUP(ComponentList[[#This Row],[Production technique]],'Cost of Production Techniques'!$C$4:$C$13,'Cost of Production Techniques'!$D$4:$D$13,"")</f>
        <v/>
      </c>
      <c r="L28" s="24" t="str">
        <f>_xlfn.XLOOKUP(ComponentList[[#This Row],[ISO 2768 Accuracy]],'Cost of Production Techniques'!$C$18:$C$21,'Cost of Production Techniques'!$D$18:$D$21,"")</f>
        <v/>
      </c>
      <c r="N28" s="25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8" s="16" cm="1">
        <f t="array" ref="O2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6572.57</v>
      </c>
    </row>
    <row r="29" spans="1:15" x14ac:dyDescent="0.4">
      <c r="B29" t="s">
        <v>97</v>
      </c>
      <c r="C29" t="s">
        <v>99</v>
      </c>
      <c r="D29" t="s">
        <v>101</v>
      </c>
      <c r="E29" s="11" t="s">
        <v>96</v>
      </c>
      <c r="F29" s="17">
        <v>0.23</v>
      </c>
      <c r="I29" s="24" t="str">
        <f>_xlfn.XLOOKUP(ComponentList[[#This Row],[Production technique]],'Cost of Production Techniques'!$C$4:$C$13,'Cost of Production Techniques'!$D$4:$D$13,"")</f>
        <v/>
      </c>
      <c r="L29" s="24" t="str">
        <f>_xlfn.XLOOKUP(ComponentList[[#This Row],[ISO 2768 Accuracy]],'Cost of Production Techniques'!$C$18:$C$21,'Cost of Production Techniques'!$D$18:$D$21,"")</f>
        <v/>
      </c>
      <c r="N29" s="25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9" s="16" cm="1">
        <f t="array" ref="O2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6572.57</v>
      </c>
    </row>
    <row r="30" spans="1:15" x14ac:dyDescent="0.4">
      <c r="B30" t="s">
        <v>98</v>
      </c>
      <c r="C30" t="s">
        <v>100</v>
      </c>
      <c r="D30" t="s">
        <v>101</v>
      </c>
      <c r="E30" s="11" t="s">
        <v>102</v>
      </c>
      <c r="F30" s="17">
        <v>0.35</v>
      </c>
      <c r="I30" s="24" t="str">
        <f>_xlfn.XLOOKUP(ComponentList[[#This Row],[Production technique]],'Cost of Production Techniques'!$C$4:$C$13,'Cost of Production Techniques'!$D$4:$D$13,"")</f>
        <v/>
      </c>
      <c r="L30" s="24" t="str">
        <f>_xlfn.XLOOKUP(ComponentList[[#This Row],[ISO 2768 Accuracy]],'Cost of Production Techniques'!$C$18:$C$21,'Cost of Production Techniques'!$D$18:$D$21,"")</f>
        <v/>
      </c>
      <c r="N30" s="25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0" s="16" cm="1">
        <f t="array" ref="O3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6572.57</v>
      </c>
    </row>
    <row r="31" spans="1:15" x14ac:dyDescent="0.4">
      <c r="A31" t="s">
        <v>35</v>
      </c>
      <c r="F31" s="18">
        <f>SUBTOTAL(109,ComponentList[Base cost])</f>
        <v>6780.2199999999993</v>
      </c>
      <c r="N31" s="18">
        <f>SUBTOTAL(109,ComponentList[Manufacturing cost])</f>
        <v>834.4899999999999</v>
      </c>
      <c r="O31" s="16">
        <f>SUBTOTAL(109,ComponentList[Total cost])</f>
        <v>53622.7</v>
      </c>
    </row>
    <row r="34" spans="5:5" x14ac:dyDescent="0.4">
      <c r="E34" s="11"/>
    </row>
  </sheetData>
  <mergeCells count="3">
    <mergeCell ref="A1:N1"/>
    <mergeCell ref="A2:F2"/>
    <mergeCell ref="G2:O2"/>
  </mergeCells>
  <conditionalFormatting sqref="D4:O7 D8:D9 F8:G9 D10:G13 D14 F14:G14 D16:D17 A18:D20 A4:B17 D15:G15 F16:G22 A21:A22 C21:C22 H8:O22">
    <cfRule type="expression" dxfId="8" priority="3">
      <formula>ISODD(ROUNDDOWN($A4,0))</formula>
    </cfRule>
  </conditionalFormatting>
  <conditionalFormatting sqref="E8">
    <cfRule type="expression" dxfId="7" priority="5">
      <formula>ISODD(ROUNDDOWN($A12,0))</formula>
    </cfRule>
  </conditionalFormatting>
  <conditionalFormatting sqref="E9">
    <cfRule type="expression" dxfId="6" priority="7">
      <formula>ISODD(ROUNDDOWN($A14,0))</formula>
    </cfRule>
  </conditionalFormatting>
  <conditionalFormatting sqref="E18:E20">
    <cfRule type="expression" dxfId="5" priority="9">
      <formula>ISODD(ROUNDDOWN($A15,0))</formula>
    </cfRule>
  </conditionalFormatting>
  <conditionalFormatting sqref="E16">
    <cfRule type="expression" dxfId="4" priority="15">
      <formula>ISODD(ROUNDDOWN($A14,0))</formula>
    </cfRule>
  </conditionalFormatting>
  <conditionalFormatting sqref="E17">
    <cfRule type="expression" dxfId="3" priority="17">
      <formula>ISODD(ROUNDDOWN(#REF!,0))</formula>
    </cfRule>
  </conditionalFormatting>
  <hyperlinks>
    <hyperlink ref="E8" r:id="rId1" xr:uid="{F7251132-6974-47C2-9469-10B8B269682C}"/>
    <hyperlink ref="E4" r:id="rId2" xr:uid="{43F17DC1-B26A-4EAE-B905-47F4474AEA4D}"/>
    <hyperlink ref="E16" r:id="rId3" xr:uid="{2A58FE00-4C91-4C70-A109-D28D7BADC245}"/>
    <hyperlink ref="E18" r:id="rId4" xr:uid="{4A34056B-AD07-4B9A-989A-F1B389F71E02}"/>
    <hyperlink ref="E22" r:id="rId5" location="adjusting" xr:uid="{8743F3E7-97A2-42DC-B6C8-50BD7A70AC2C}"/>
    <hyperlink ref="E23" r:id="rId6" location="PR_4_NbV" xr:uid="{28A60CDE-FE92-4FFA-A3F8-D06752E15430}"/>
    <hyperlink ref="E21" r:id="rId7" xr:uid="{0137C4D7-B60C-4BEF-863F-12A65CD07CF1}"/>
    <hyperlink ref="E7" r:id="rId8" xr:uid="{EE054DD4-2D75-4FAE-93ED-A7A6BD0FA828}"/>
    <hyperlink ref="E15" r:id="rId9" xr:uid="{8BBDEA4F-1EF5-4E7E-840E-46406AA88FA4}"/>
    <hyperlink ref="E14" r:id="rId10" xr:uid="{97E43585-241A-439F-81BA-48A72663BCF7}"/>
    <hyperlink ref="E10" r:id="rId11" xr:uid="{207E3DC1-6276-4395-8C14-74150754A12B}"/>
    <hyperlink ref="E12" r:id="rId12" xr:uid="{8C0A39A7-A38C-4570-AA8F-2175C39D249A}"/>
    <hyperlink ref="E24" r:id="rId13" xr:uid="{4ADA90F8-F82D-4DD0-B4AF-E062B213E299}"/>
    <hyperlink ref="E25" r:id="rId14" xr:uid="{9AB8358E-6694-4B60-AE6B-7BC0DE7E6424}"/>
    <hyperlink ref="E26" r:id="rId15" xr:uid="{AB2AFD82-167E-4AE7-B6A0-0B4DAD812022}"/>
    <hyperlink ref="E27" r:id="rId16" xr:uid="{92DFCEBC-675B-4D82-83FA-B3EF4A17FB6E}"/>
    <hyperlink ref="E28" r:id="rId17" xr:uid="{E05906CC-3E24-41E4-A19D-8D4A227A245A}"/>
    <hyperlink ref="E29" r:id="rId18" xr:uid="{FD69CC9F-8653-4EA7-8563-2B595FE9B2AF}"/>
    <hyperlink ref="E30" r:id="rId19" xr:uid="{2458BBD1-CC25-4B17-9CDF-0E07784B0D6C}"/>
  </hyperlinks>
  <pageMargins left="0.7" right="0.7" top="0.75" bottom="0.75" header="0.3" footer="0.3"/>
  <legacyDrawing r:id="rId20"/>
  <tableParts count="1"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7CC2C3-0C8C-4E4A-9351-2B8DA29490C5}">
          <x14:formula1>
            <xm:f>'Cost of Production Techniques'!$C$4:$C$13</xm:f>
          </x14:formula1>
          <xm:sqref>G4:G30</xm:sqref>
        </x14:dataValidation>
        <x14:dataValidation type="list" allowBlank="1" showInputMessage="1" showErrorMessage="1" xr:uid="{E96BB3D4-2050-40E5-9AA1-8BC2B97DC6BA}">
          <x14:formula1>
            <xm:f>'Cost of Production Techniques'!$C$18:$C$21</xm:f>
          </x14:formula1>
          <xm:sqref>K4:K30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A2D5-F700-4B61-93A8-3142D081196A}">
  <dimension ref="C1:I21"/>
  <sheetViews>
    <sheetView workbookViewId="0">
      <selection activeCell="D13" sqref="D13"/>
    </sheetView>
  </sheetViews>
  <sheetFormatPr defaultRowHeight="14.6" x14ac:dyDescent="0.4"/>
  <cols>
    <col min="3" max="3" width="42.3046875" bestFit="1" customWidth="1"/>
    <col min="4" max="4" width="25.765625" bestFit="1" customWidth="1"/>
    <col min="5" max="5" width="11.4609375" bestFit="1" customWidth="1"/>
    <col min="6" max="6" width="13.4609375" customWidth="1"/>
    <col min="7" max="7" width="26.23046875" bestFit="1" customWidth="1"/>
    <col min="8" max="8" width="15.84375" bestFit="1" customWidth="1"/>
    <col min="9" max="9" width="16.53515625" bestFit="1" customWidth="1"/>
  </cols>
  <sheetData>
    <row r="1" spans="3:9" x14ac:dyDescent="0.4">
      <c r="D1" s="1"/>
      <c r="G1" s="1"/>
    </row>
    <row r="2" spans="3:9" x14ac:dyDescent="0.4">
      <c r="D2" s="1"/>
      <c r="F2" s="1"/>
      <c r="G2" s="1"/>
      <c r="I2" s="2"/>
    </row>
    <row r="3" spans="3:9" ht="29.15" x14ac:dyDescent="0.4">
      <c r="C3" s="1" t="s">
        <v>3</v>
      </c>
      <c r="D3" s="1"/>
      <c r="E3" s="1" t="s">
        <v>13</v>
      </c>
      <c r="G3" s="3" t="s">
        <v>10</v>
      </c>
      <c r="H3" s="1" t="s">
        <v>11</v>
      </c>
      <c r="I3" s="1" t="s">
        <v>12</v>
      </c>
    </row>
    <row r="4" spans="3:9" x14ac:dyDescent="0.4">
      <c r="C4" t="s">
        <v>36</v>
      </c>
      <c r="D4" s="5" t="s">
        <v>14</v>
      </c>
      <c r="E4" s="7">
        <v>0.2</v>
      </c>
      <c r="G4">
        <v>1</v>
      </c>
      <c r="H4" s="6">
        <v>40</v>
      </c>
      <c r="I4" s="6">
        <f>SUM($H$4:H4)</f>
        <v>40</v>
      </c>
    </row>
    <row r="5" spans="3:9" x14ac:dyDescent="0.4">
      <c r="C5" t="s">
        <v>37</v>
      </c>
      <c r="D5" s="5" t="s">
        <v>15</v>
      </c>
      <c r="E5" s="7">
        <v>0.2</v>
      </c>
      <c r="G5">
        <v>2</v>
      </c>
      <c r="H5" s="6">
        <v>10</v>
      </c>
      <c r="I5" s="6">
        <f>SUM($H$4:H5)</f>
        <v>50</v>
      </c>
    </row>
    <row r="6" spans="3:9" x14ac:dyDescent="0.4">
      <c r="C6" t="s">
        <v>38</v>
      </c>
      <c r="D6" s="5" t="s">
        <v>14</v>
      </c>
      <c r="E6" s="7">
        <v>0.15</v>
      </c>
      <c r="G6">
        <v>3</v>
      </c>
      <c r="H6" s="6">
        <v>20</v>
      </c>
      <c r="I6" s="6">
        <f>SUM($H$4:H6)</f>
        <v>70</v>
      </c>
    </row>
    <row r="7" spans="3:9" x14ac:dyDescent="0.4">
      <c r="C7" t="s">
        <v>39</v>
      </c>
      <c r="D7" s="5" t="s">
        <v>15</v>
      </c>
      <c r="E7" s="7">
        <v>0.25</v>
      </c>
      <c r="G7">
        <v>4</v>
      </c>
      <c r="H7" s="6">
        <v>30</v>
      </c>
      <c r="I7" s="6">
        <f>SUM($H$4:H7)</f>
        <v>100</v>
      </c>
    </row>
    <row r="8" spans="3:9" x14ac:dyDescent="0.4">
      <c r="C8" t="s">
        <v>40</v>
      </c>
      <c r="D8" s="5" t="s">
        <v>16</v>
      </c>
      <c r="E8" s="7">
        <v>0.2</v>
      </c>
      <c r="G8">
        <v>5</v>
      </c>
      <c r="H8" s="6">
        <v>40</v>
      </c>
      <c r="I8" s="6">
        <f>SUM($H$4:H8)</f>
        <v>140</v>
      </c>
    </row>
    <row r="9" spans="3:9" x14ac:dyDescent="0.4">
      <c r="C9" t="s">
        <v>6</v>
      </c>
      <c r="D9" s="5" t="s">
        <v>17</v>
      </c>
      <c r="E9" s="7">
        <v>0.15</v>
      </c>
      <c r="G9">
        <v>6</v>
      </c>
      <c r="H9" s="6">
        <v>50</v>
      </c>
      <c r="I9" s="6">
        <f>SUM($H$4:H9)</f>
        <v>190</v>
      </c>
    </row>
    <row r="10" spans="3:9" x14ac:dyDescent="0.4">
      <c r="C10" t="s">
        <v>7</v>
      </c>
      <c r="D10" s="5" t="s">
        <v>18</v>
      </c>
      <c r="E10" s="7">
        <v>0.2</v>
      </c>
      <c r="H10" s="6"/>
      <c r="I10" s="6"/>
    </row>
    <row r="11" spans="3:9" x14ac:dyDescent="0.4">
      <c r="C11" t="s">
        <v>8</v>
      </c>
      <c r="D11" s="5" t="s">
        <v>15</v>
      </c>
      <c r="E11" s="7">
        <v>0.3</v>
      </c>
      <c r="H11" s="6"/>
      <c r="I11" s="6"/>
    </row>
    <row r="12" spans="3:9" x14ac:dyDescent="0.4">
      <c r="C12" t="s">
        <v>41</v>
      </c>
      <c r="D12" s="5" t="s">
        <v>19</v>
      </c>
      <c r="E12" s="7">
        <v>0.15</v>
      </c>
      <c r="H12" s="6"/>
      <c r="I12" s="6"/>
    </row>
    <row r="13" spans="3:9" x14ac:dyDescent="0.4">
      <c r="C13" t="s">
        <v>9</v>
      </c>
      <c r="D13" s="5" t="s">
        <v>20</v>
      </c>
      <c r="E13" s="7">
        <v>0.5</v>
      </c>
    </row>
    <row r="15" spans="3:9" x14ac:dyDescent="0.4">
      <c r="F15" s="4"/>
    </row>
    <row r="16" spans="3:9" x14ac:dyDescent="0.4">
      <c r="F16" s="4"/>
    </row>
    <row r="17" spans="3:4" x14ac:dyDescent="0.4">
      <c r="C17" s="1" t="s">
        <v>21</v>
      </c>
      <c r="D17" s="1" t="s">
        <v>26</v>
      </c>
    </row>
    <row r="18" spans="3:4" x14ac:dyDescent="0.4">
      <c r="C18" t="s">
        <v>22</v>
      </c>
      <c r="D18">
        <v>2</v>
      </c>
    </row>
    <row r="19" spans="3:4" x14ac:dyDescent="0.4">
      <c r="C19" t="s">
        <v>23</v>
      </c>
      <c r="D19">
        <v>1</v>
      </c>
    </row>
    <row r="20" spans="3:4" x14ac:dyDescent="0.4">
      <c r="C20" t="s">
        <v>24</v>
      </c>
      <c r="D20">
        <v>0.9</v>
      </c>
    </row>
    <row r="21" spans="3:4" x14ac:dyDescent="0.4">
      <c r="C21" t="s">
        <v>25</v>
      </c>
      <c r="D21">
        <v>0.75</v>
      </c>
    </row>
  </sheetData>
  <phoneticPr fontId="6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 List</vt:lpstr>
      <vt:lpstr>Cost of Production Techniques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Antje Goossens</dc:creator>
  <cp:lastModifiedBy>Bruno Christiaens</cp:lastModifiedBy>
  <dcterms:created xsi:type="dcterms:W3CDTF">2023-11-22T12:32:58Z</dcterms:created>
  <dcterms:modified xsi:type="dcterms:W3CDTF">2026-04-02T10:08:18Z</dcterms:modified>
</cp:coreProperties>
</file>