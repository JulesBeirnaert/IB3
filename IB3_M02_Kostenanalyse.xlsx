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heyselberghs_student_kuleuven_be/Documents/IIW Jaar 3/Semester 2/Ingenieursbeleving 3 - Persoonlijk/Finale Week Sem2Pt1/M2 Dima/"/>
    </mc:Choice>
  </mc:AlternateContent>
  <xr:revisionPtr revIDLastSave="409" documentId="8_{88D8FF42-8161-4790-8259-A54B2A891725}" xr6:coauthVersionLast="47" xr6:coauthVersionMax="47" xr10:uidLastSave="{BF250DC1-F05C-4702-A156-9F9185B9EACD}"/>
  <bookViews>
    <workbookView xWindow="-108" yWindow="-108" windowWidth="23256" windowHeight="12456" xr2:uid="{BFD07E40-9063-403C-AE72-22C04B9975E4}"/>
  </bookViews>
  <sheets>
    <sheet name="Component List" sheetId="3" r:id="rId1"/>
    <sheet name="Cost of Production Techniq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L27" i="3"/>
  <c r="N27" i="3" s="1"/>
  <c r="O27" i="3" s="1" a="1"/>
  <c r="O27" i="3" s="1"/>
  <c r="I57" i="3"/>
  <c r="L57" i="3"/>
  <c r="N57" i="3" s="1"/>
  <c r="I55" i="3"/>
  <c r="L55" i="3"/>
  <c r="N55" i="3" s="1"/>
  <c r="I47" i="3"/>
  <c r="L47" i="3"/>
  <c r="N47" i="3" s="1"/>
  <c r="I56" i="3"/>
  <c r="L56" i="3"/>
  <c r="N56" i="3" s="1"/>
  <c r="I54" i="3"/>
  <c r="L54" i="3"/>
  <c r="N54" i="3" s="1"/>
  <c r="I52" i="3"/>
  <c r="L52" i="3"/>
  <c r="N52" i="3" s="1"/>
  <c r="I53" i="3"/>
  <c r="L53" i="3"/>
  <c r="N53" i="3" s="1"/>
  <c r="I48" i="3"/>
  <c r="L48" i="3"/>
  <c r="N48" i="3" s="1"/>
  <c r="O48" i="3" s="1" a="1"/>
  <c r="O48" i="3" s="1"/>
  <c r="I46" i="3"/>
  <c r="L46" i="3"/>
  <c r="N46" i="3" s="1"/>
  <c r="I50" i="3"/>
  <c r="L50" i="3"/>
  <c r="N50" i="3" s="1"/>
  <c r="I45" i="3"/>
  <c r="L45" i="3"/>
  <c r="N45" i="3" s="1"/>
  <c r="I43" i="3"/>
  <c r="L43" i="3"/>
  <c r="N43" i="3" s="1"/>
  <c r="I26" i="3"/>
  <c r="L26" i="3"/>
  <c r="N26" i="3" s="1"/>
  <c r="O26" i="3" s="1" a="1"/>
  <c r="O26" i="3" s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4" i="3"/>
  <c r="L49" i="3"/>
  <c r="L51" i="3"/>
  <c r="L58" i="3"/>
  <c r="L59" i="3"/>
  <c r="L60" i="3"/>
  <c r="L5" i="3"/>
  <c r="L4" i="3"/>
  <c r="O55" i="3" l="1" a="1"/>
  <c r="O55" i="3" s="1"/>
  <c r="O57" i="3" a="1"/>
  <c r="O57" i="3" s="1"/>
  <c r="O47" i="3" a="1"/>
  <c r="O47" i="3" s="1"/>
  <c r="O56" i="3" a="1"/>
  <c r="O56" i="3" s="1"/>
  <c r="O54" i="3" a="1"/>
  <c r="O54" i="3" s="1"/>
  <c r="O53" i="3" a="1"/>
  <c r="O53" i="3" s="1"/>
  <c r="O52" i="3" a="1"/>
  <c r="O52" i="3" s="1"/>
  <c r="O46" i="3" a="1"/>
  <c r="O46" i="3" s="1"/>
  <c r="O45" i="3" a="1"/>
  <c r="O45" i="3" s="1"/>
  <c r="O50" i="3" a="1"/>
  <c r="O50" i="3" s="1"/>
  <c r="O43" i="3" a="1"/>
  <c r="O43" i="3" s="1"/>
  <c r="I7" i="3" l="1"/>
  <c r="N7" i="3"/>
  <c r="I8" i="3"/>
  <c r="N8" i="3"/>
  <c r="I9" i="3"/>
  <c r="N9" i="3"/>
  <c r="O7" i="3" s="1" a="1"/>
  <c r="O7" i="3" s="1"/>
  <c r="N4" i="3"/>
  <c r="I40" i="3"/>
  <c r="N40" i="3"/>
  <c r="O40" i="3" s="1" a="1"/>
  <c r="O40" i="3" s="1"/>
  <c r="I41" i="3"/>
  <c r="N41" i="3"/>
  <c r="O41" i="3" s="1" a="1"/>
  <c r="O41" i="3" s="1"/>
  <c r="I42" i="3"/>
  <c r="N42" i="3"/>
  <c r="O42" i="3" s="1" a="1"/>
  <c r="O42" i="3" s="1"/>
  <c r="I44" i="3"/>
  <c r="N44" i="3"/>
  <c r="O44" i="3" s="1" a="1"/>
  <c r="O44" i="3" s="1"/>
  <c r="I49" i="3"/>
  <c r="N49" i="3"/>
  <c r="O49" i="3" s="1" a="1"/>
  <c r="O49" i="3" s="1"/>
  <c r="I51" i="3"/>
  <c r="N51" i="3"/>
  <c r="O51" i="3" s="1" a="1"/>
  <c r="O51" i="3" s="1"/>
  <c r="I58" i="3"/>
  <c r="N58" i="3"/>
  <c r="O58" i="3" s="1" a="1"/>
  <c r="O58" i="3" s="1"/>
  <c r="I59" i="3"/>
  <c r="N59" i="3"/>
  <c r="O59" i="3" s="1" a="1"/>
  <c r="O59" i="3" s="1"/>
  <c r="I60" i="3"/>
  <c r="N60" i="3"/>
  <c r="O60" i="3" s="1" a="1"/>
  <c r="O60" i="3" s="1"/>
  <c r="I24" i="3"/>
  <c r="N24" i="3"/>
  <c r="O24" i="3" s="1" a="1"/>
  <c r="O24" i="3" s="1"/>
  <c r="I25" i="3"/>
  <c r="N25" i="3"/>
  <c r="O25" i="3" s="1" a="1"/>
  <c r="O25" i="3" s="1"/>
  <c r="I28" i="3"/>
  <c r="N28" i="3"/>
  <c r="O28" i="3" s="1" a="1"/>
  <c r="O28" i="3" s="1"/>
  <c r="I30" i="3"/>
  <c r="N30" i="3"/>
  <c r="O30" i="3" s="1" a="1"/>
  <c r="O30" i="3" s="1"/>
  <c r="I31" i="3"/>
  <c r="N31" i="3"/>
  <c r="O31" i="3" s="1" a="1"/>
  <c r="O31" i="3" s="1"/>
  <c r="I32" i="3"/>
  <c r="N32" i="3"/>
  <c r="O32" i="3" s="1" a="1"/>
  <c r="O32" i="3" s="1"/>
  <c r="I33" i="3"/>
  <c r="N33" i="3"/>
  <c r="O33" i="3" s="1" a="1"/>
  <c r="O33" i="3" s="1"/>
  <c r="I34" i="3"/>
  <c r="N34" i="3"/>
  <c r="O34" i="3" s="1" a="1"/>
  <c r="O34" i="3" s="1"/>
  <c r="I35" i="3"/>
  <c r="N35" i="3"/>
  <c r="O35" i="3" s="1" a="1"/>
  <c r="O35" i="3" s="1"/>
  <c r="I36" i="3"/>
  <c r="N36" i="3"/>
  <c r="O36" i="3" s="1" a="1"/>
  <c r="O36" i="3" s="1"/>
  <c r="I37" i="3"/>
  <c r="N37" i="3"/>
  <c r="O37" i="3" s="1" a="1"/>
  <c r="O37" i="3" s="1"/>
  <c r="I38" i="3"/>
  <c r="N38" i="3"/>
  <c r="O38" i="3" s="1" a="1"/>
  <c r="O38" i="3" s="1"/>
  <c r="I29" i="3"/>
  <c r="N29" i="3"/>
  <c r="O29" i="3" s="1" a="1"/>
  <c r="O29" i="3" s="1"/>
  <c r="I39" i="3"/>
  <c r="N39" i="3"/>
  <c r="O39" i="3" s="1" a="1"/>
  <c r="O39" i="3" s="1"/>
  <c r="I22" i="3"/>
  <c r="N22" i="3"/>
  <c r="I23" i="3"/>
  <c r="N23" i="3"/>
  <c r="I21" i="3"/>
  <c r="N21" i="3"/>
  <c r="N5" i="3"/>
  <c r="O5" i="3" s="1" a="1"/>
  <c r="O5" i="3" s="1"/>
  <c r="N6" i="3"/>
  <c r="O6" i="3" s="1" a="1"/>
  <c r="O6" i="3" s="1"/>
  <c r="N10" i="3"/>
  <c r="N11" i="3"/>
  <c r="O11" i="3" s="1" a="1"/>
  <c r="O11" i="3" s="1"/>
  <c r="N13" i="3"/>
  <c r="N14" i="3"/>
  <c r="N15" i="3"/>
  <c r="N16" i="3"/>
  <c r="N17" i="3"/>
  <c r="N18" i="3"/>
  <c r="N19" i="3"/>
  <c r="N20" i="3"/>
  <c r="I4" i="3"/>
  <c r="I5" i="3"/>
  <c r="I6" i="3"/>
  <c r="I10" i="3"/>
  <c r="I11" i="3"/>
  <c r="J12" i="3"/>
  <c r="I13" i="3"/>
  <c r="I14" i="3"/>
  <c r="I15" i="3"/>
  <c r="I16" i="3"/>
  <c r="I17" i="3"/>
  <c r="I18" i="3"/>
  <c r="I19" i="3"/>
  <c r="I20" i="3"/>
  <c r="F61" i="3"/>
  <c r="I4" i="2"/>
  <c r="I6" i="2"/>
  <c r="I7" i="2"/>
  <c r="I8" i="2"/>
  <c r="I9" i="2"/>
  <c r="I5" i="2"/>
  <c r="O8" i="3" l="1" a="1"/>
  <c r="O8" i="3" s="1"/>
  <c r="O9" i="3" a="1"/>
  <c r="O9" i="3" s="1"/>
  <c r="O22" i="3" a="1"/>
  <c r="O22" i="3" s="1"/>
  <c r="O23" i="3" a="1"/>
  <c r="O23" i="3" s="1"/>
  <c r="O21" i="3" a="1"/>
  <c r="O21" i="3" s="1"/>
  <c r="O10" i="3" a="1"/>
  <c r="O10" i="3" s="1"/>
  <c r="O4" i="3" a="1"/>
  <c r="O4" i="3" s="1"/>
  <c r="O20" i="3" a="1"/>
  <c r="O20" i="3" s="1"/>
  <c r="O19" i="3" a="1"/>
  <c r="O19" i="3" s="1"/>
  <c r="O17" i="3" a="1"/>
  <c r="O17" i="3" s="1"/>
  <c r="O15" i="3" a="1"/>
  <c r="O15" i="3" s="1"/>
  <c r="O13" i="3" a="1"/>
  <c r="O13" i="3" s="1"/>
  <c r="O18" i="3" a="1"/>
  <c r="O18" i="3" s="1"/>
  <c r="O14" i="3" a="1"/>
  <c r="O14" i="3" s="1"/>
  <c r="O16" i="3" a="1"/>
  <c r="O16" i="3" s="1"/>
  <c r="O12" i="3" a="1"/>
  <c r="O12" i="3" s="1"/>
  <c r="N61" i="3"/>
  <c r="O6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Van Riel</author>
  </authors>
  <commentList>
    <comment ref="A3" authorId="0" shapeId="0" xr:uid="{012DB47D-1E42-4A57-A96A-6792F78F4BBF}">
      <text>
        <r>
          <rPr>
            <b/>
            <sz val="9"/>
            <color indexed="81"/>
            <rFont val="Tahoma"/>
            <family val="2"/>
          </rPr>
          <t>Add numbers after the decimal point to subdivide the item.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Van Riel</author>
  </authors>
  <commentList>
    <comment ref="E6" authorId="0" shapeId="0" xr:uid="{EE964FE2-74CE-486C-9070-6401B60A12DA}">
      <text>
        <r>
          <rPr>
            <b/>
            <sz val="9"/>
            <color indexed="81"/>
            <rFont val="Tahoma"/>
            <family val="2"/>
          </rPr>
          <t>€10 to reduce 10 cm shaft from diameter 50 to 40 mm</t>
        </r>
      </text>
    </comment>
    <comment ref="E7" authorId="0" shapeId="0" xr:uid="{5F72CD11-802C-4124-983C-C79E8646845E}">
      <text>
        <r>
          <rPr>
            <b/>
            <sz val="9"/>
            <color indexed="81"/>
            <rFont val="Tahoma"/>
            <family val="2"/>
          </rPr>
          <t>€30 to finish surface of rough turning</t>
        </r>
      </text>
    </comment>
    <comment ref="E8" authorId="0" shapeId="0" xr:uid="{54910F25-7D1F-46F2-8D21-6DC2FA593A56}">
      <text>
        <r>
          <rPr>
            <b/>
            <sz val="9"/>
            <color indexed="81"/>
            <rFont val="Tahoma"/>
            <family val="2"/>
          </rPr>
          <t>€20 to drill a troughhole trough shaft after turning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<sst xmlns="http://schemas.openxmlformats.org/spreadsheetml/2006/main" count="277" uniqueCount="189">
  <si>
    <t>RDS reference</t>
  </si>
  <si>
    <t>Material</t>
  </si>
  <si>
    <t>Production technique</t>
  </si>
  <si>
    <t>Examples of production techniques</t>
  </si>
  <si>
    <t>Purchase information</t>
  </si>
  <si>
    <t>Extra info</t>
  </si>
  <si>
    <t>Aluminium</t>
  </si>
  <si>
    <t>Lasercutting</t>
  </si>
  <si>
    <t>Waterjetcutting</t>
  </si>
  <si>
    <t>Grinding</t>
  </si>
  <si>
    <t>3D printing</t>
  </si>
  <si>
    <t>Number of clamping setups (opspanningen)</t>
  </si>
  <si>
    <t>cost per clamping</t>
  </si>
  <si>
    <t>total clamping cost</t>
  </si>
  <si>
    <t>cost per unit</t>
  </si>
  <si>
    <t>Removed volume [cm³]</t>
  </si>
  <si>
    <t>Finished surface [cm²]</t>
  </si>
  <si>
    <t>Linear length of hole (depth) [cm]</t>
  </si>
  <si>
    <t>Length of cut [cm]</t>
  </si>
  <si>
    <t>Length to cut [cm]</t>
  </si>
  <si>
    <t>Cast volume [cm³]</t>
  </si>
  <si>
    <t>Printed volume (incl. material) [cm³]</t>
  </si>
  <si>
    <t>Multipliers for accuracy requirements (ISO 2768)</t>
  </si>
  <si>
    <t>fine</t>
  </si>
  <si>
    <t>medium</t>
  </si>
  <si>
    <t>coarse</t>
  </si>
  <si>
    <t>very coarse</t>
  </si>
  <si>
    <t>Multiplier</t>
  </si>
  <si>
    <t>ISO 2768 Accuracy</t>
  </si>
  <si>
    <t>#</t>
  </si>
  <si>
    <t>Description</t>
  </si>
  <si>
    <t>Purchase link</t>
  </si>
  <si>
    <t>Unit of technique</t>
  </si>
  <si>
    <t>Amount</t>
  </si>
  <si>
    <t># of clampings</t>
  </si>
  <si>
    <t>Manufacturing cost</t>
  </si>
  <si>
    <t>Total</t>
  </si>
  <si>
    <t>Milling (Rough)</t>
  </si>
  <si>
    <t>Milling (Fine)</t>
  </si>
  <si>
    <t>Turning (Rough)</t>
  </si>
  <si>
    <t>Turning (Fine)</t>
  </si>
  <si>
    <t>Drilling</t>
  </si>
  <si>
    <t>Sandcasting</t>
  </si>
  <si>
    <r>
      <t xml:space="preserve">Further engineering needed? </t>
    </r>
    <r>
      <rPr>
        <b/>
        <sz val="12"/>
        <color theme="1"/>
        <rFont val="Calibri"/>
        <family val="2"/>
        <scheme val="minor"/>
      </rPr>
      <t xml:space="preserve">(Input </t>
    </r>
    <r>
      <rPr>
        <b/>
        <u/>
        <sz val="12"/>
        <color theme="1"/>
        <rFont val="Calibri"/>
        <family val="2"/>
        <scheme val="minor"/>
      </rPr>
      <t>underscored</t>
    </r>
    <r>
      <rPr>
        <b/>
        <sz val="12"/>
        <color theme="1"/>
        <rFont val="Calibri"/>
        <family val="2"/>
        <scheme val="minor"/>
      </rPr>
      <t xml:space="preserve"> columns, columns in </t>
    </r>
    <r>
      <rPr>
        <b/>
        <i/>
        <sz val="12"/>
        <color theme="1"/>
        <rFont val="Calibri"/>
        <family val="2"/>
        <scheme val="minor"/>
      </rPr>
      <t>italics</t>
    </r>
    <r>
      <rPr>
        <b/>
        <sz val="12"/>
        <color theme="1"/>
        <rFont val="Calibri"/>
        <family val="2"/>
        <scheme val="minor"/>
      </rPr>
      <t xml:space="preserve"> are calculated automatically)</t>
    </r>
  </si>
  <si>
    <t>Total cost</t>
  </si>
  <si>
    <t>Base cost</t>
  </si>
  <si>
    <t>M2.BGE1</t>
  </si>
  <si>
    <t>M2.BGA1 t.e.m. M2.BGA2</t>
  </si>
  <si>
    <t>M2.KEB1</t>
  </si>
  <si>
    <t>M2.MAA1</t>
  </si>
  <si>
    <t>M2.NAB1</t>
  </si>
  <si>
    <t>M2.NBC1</t>
  </si>
  <si>
    <t>M2.UAB1 t.e.m. M2.UAB2</t>
  </si>
  <si>
    <t>M2.UBA1</t>
  </si>
  <si>
    <t>M2.ULA1</t>
  </si>
  <si>
    <t>M2.ULE1</t>
  </si>
  <si>
    <t>M2.ULK1</t>
  </si>
  <si>
    <t>M2.ULK2</t>
  </si>
  <si>
    <t>M2.ULL1 t.e.m. M2.ULL2</t>
  </si>
  <si>
    <t>M2.ULL3</t>
  </si>
  <si>
    <t>M2.ULL4</t>
  </si>
  <si>
    <t>M2.ULL5</t>
  </si>
  <si>
    <t>M2.UPA1 t.e.m. M2.UPA2</t>
  </si>
  <si>
    <t>M2.UPA3 t.e.m. M2.UPA5</t>
  </si>
  <si>
    <t>M2.UPA6 t.e.m. M2.UPA8</t>
  </si>
  <si>
    <t>M2.UQB1 t.e.m. M2.UQB34</t>
  </si>
  <si>
    <t>M2.UQB35 t.e.m. M2.UQB48</t>
  </si>
  <si>
    <t>M2.UQB49 t.e.m. M2.UQB50</t>
  </si>
  <si>
    <t>M2.UQB51 t.e.m. M2.UQB74</t>
  </si>
  <si>
    <t>M2.UQB75 t.e.m. M2.UQB82</t>
  </si>
  <si>
    <t>M2.UQB83 t.e.m. M2.UQB102</t>
  </si>
  <si>
    <t>M2.WDB1</t>
  </si>
  <si>
    <t>M2.WDB2 t.e.m. M2.WDB3</t>
  </si>
  <si>
    <t>M2.WDB4</t>
  </si>
  <si>
    <t>M2.WED1</t>
  </si>
  <si>
    <t>M2.WGB1</t>
  </si>
  <si>
    <t>M2.WGB2 t.e.m. M2.WGB3</t>
  </si>
  <si>
    <t>M2.WPC1 t.e.m. M2.WPC2</t>
  </si>
  <si>
    <t>M2.WQA1</t>
  </si>
  <si>
    <t>M2.WQA2</t>
  </si>
  <si>
    <t>M2.WQA3</t>
  </si>
  <si>
    <t>M2.WQA4</t>
  </si>
  <si>
    <t>M2.WQB1</t>
  </si>
  <si>
    <t>M2.XNA1 t.e.m. M2.XNA2</t>
  </si>
  <si>
    <t>M2.XNC1 t.e.m. M2.XNC7</t>
  </si>
  <si>
    <t>M2.XND1 t.e.m. M2.XND2</t>
  </si>
  <si>
    <t>Magnetische ringencoder</t>
  </si>
  <si>
    <t>LiDAR-sensor</t>
  </si>
  <si>
    <t>AC-servomotor</t>
  </si>
  <si>
    <t>Afsluitend plaatje aan uiteinde van de roterende arm</t>
  </si>
  <si>
    <t>Borstelstrip</t>
  </si>
  <si>
    <t>Trekontlastingen</t>
  </si>
  <si>
    <t>Multi-axiale kabelrups</t>
  </si>
  <si>
    <t>Ondersteuningsplaatje ringencoder M2.BGE1</t>
  </si>
  <si>
    <t>Uitgaande arm</t>
  </si>
  <si>
    <t>Bovenste ondersteuningsplaat</t>
  </si>
  <si>
    <t>Onderste ondersteuningsplaat</t>
  </si>
  <si>
    <t>Zijplaat</t>
  </si>
  <si>
    <t>Bovenste voorplaat</t>
  </si>
  <si>
    <t>Onderste voorplaat</t>
  </si>
  <si>
    <t>Achterplaat</t>
  </si>
  <si>
    <t>Groefkogellager</t>
  </si>
  <si>
    <t>Axiale lager deel 1 (catalogus)</t>
  </si>
  <si>
    <t>Axiale lager deel 2 (zelf ontworpen)</t>
  </si>
  <si>
    <t>Bout DIN M6 x 30</t>
  </si>
  <si>
    <t>Bout DIN M6 x 50</t>
  </si>
  <si>
    <t>Bout DIN M3 x 20</t>
  </si>
  <si>
    <t>Bout DIN M10 x 45</t>
  </si>
  <si>
    <t>Bout AI 0,25-20 x 0,625</t>
  </si>
  <si>
    <t>Moer DIN M10</t>
  </si>
  <si>
    <t>Elektriciteitskabel ringencoder M2.BGE1</t>
  </si>
  <si>
    <t>Elektriciteitskabel LiDAR-sensoren M2.BGA1 t.e.m. M2.BGA2</t>
  </si>
  <si>
    <t>Elektriciteitskabel servomotor M2.MAA1</t>
  </si>
  <si>
    <t>Equipotentiaalverbinding voor behuizing</t>
  </si>
  <si>
    <t>Datakabel ringencoder M2.BGE1</t>
  </si>
  <si>
    <t>Datakabel LiDAR-sensoren M2.BGA1 t.e.m. M2.BGA2</t>
  </si>
  <si>
    <t>Persluchtslang</t>
  </si>
  <si>
    <t>Spline-as</t>
  </si>
  <si>
    <t>Uitgaande as</t>
  </si>
  <si>
    <t>Passingscilinder bovenzijde spline-as</t>
  </si>
  <si>
    <t>Passingscilinder onderzijde spline-as</t>
  </si>
  <si>
    <t>Tandriem + tandriemschijven</t>
  </si>
  <si>
    <t>Splineflensmoer</t>
  </si>
  <si>
    <t>Gegroefde naaf (splined hub)</t>
  </si>
  <si>
    <t>Balgkoppeling</t>
  </si>
  <si>
    <t>Mädler</t>
  </si>
  <si>
    <t>https://www.skf.com/sg/products/rolling-bearings/ball-bearings/self-aligning-ball-bearings/productid-1208%20ETN9%2FC3</t>
  </si>
  <si>
    <t>https://www.maedler.de/Article/16276000</t>
  </si>
  <si>
    <t>https://www.ruland.com/mbc80-40-32-a.html?srsltid=AfmBOoqTRnVVlPM8bz4pwRrT4qe5Hy7IWOfIZj1MImaEQfmuWbWqtz7r</t>
  </si>
  <si>
    <t>Geschatte prijs volgens deze bron</t>
  </si>
  <si>
    <t>Siemens</t>
  </si>
  <si>
    <t>https://www.maedler.de/product/1643/344/keilnaben-mit-flansch-din-iso-14-edelstahl?result=64899506</t>
  </si>
  <si>
    <t>Inbegrepen in prijs M2.BGA1 en M2.BGA2</t>
  </si>
  <si>
    <t>https://www.sick.com/be/nl/catalog/producten/lidar-en-radarsensoren/lidar-sensoren/tim/tim361s-2134101/p/p563066?tab=detail</t>
  </si>
  <si>
    <t>https://www.conrad.be/nl/p/blickle-dk-luh-3-plaatstalen-draaikrans-1-stuk-s-3051259.html?experience=b2c&amp;cq_src=google_ads&amp;cq_cmp=21348122838&amp;cq_term=&amp;cq_plac=&amp;cq_net=x&amp;cq_plt=gp&amp;utm_source=google&amp;utm_medium=cpc&amp;utm_campaign=BE+-+PMAX+-+Nonbrand+-+Zero+traffic&amp;utm_id=21348122838&amp;gad_source=1&amp;gad_campaignid=21354377450&amp;gbraid=0AAAAAD8JkRpdSX6NUwdvjiXIKrmmzGx0l&amp;gclid=Cj0KCQjw4a3OBhCHARIsAChaqJOoMSXWckYmesppYoN_yxypOULBtDMIQ5yYE4erG9vcPXxPZhu6r6UaArbmEALw_wcB&amp;refresh=true</t>
  </si>
  <si>
    <t>https://www.rls.si/eng/artos-dhr-rotary-absolute-magnetic-encoder-system</t>
  </si>
  <si>
    <t>https://www.conrad.be/nl/p/igus-trl-30-050-0-kabelrups-draaibeweging-742967.html</t>
  </si>
  <si>
    <t>Drive van de servomotor (module IO)</t>
  </si>
  <si>
    <t>https://sieportal.siemens.com/en-ww/products-services/detail/6SL3040-1LA01-0AA0?tree=CatalogTree</t>
  </si>
  <si>
    <t>Drive van de servomotor (module CU)</t>
  </si>
  <si>
    <t>https://sieportal.siemens.com/en-ww/products-services/detail/6SL3210-1PE12-3AL1?tree=CatalogTree</t>
  </si>
  <si>
    <t>Kostenanalyse M2</t>
  </si>
  <si>
    <t>https://sieportal.siemens.com/en-ww/products-services/detail/6SL3201-0BE14-3AA0?tree=CatalogTree</t>
  </si>
  <si>
    <t>Drive van de servomotor (module remweerstand)</t>
  </si>
  <si>
    <t>https://sieportal.siemens.com/de-be/products-services/detail/6SL3252-0BB01-0AA0?tree=CatalogTree</t>
  </si>
  <si>
    <t>https://benl.rs-online.com/web/p/hex-bolts/0520150</t>
  </si>
  <si>
    <t>https://benl.rs-online.com/web/p/hex-bolts/0190232</t>
  </si>
  <si>
    <t>https://benl.rs-online.com/web/p/hex-bolts/2873866</t>
  </si>
  <si>
    <t>https://benl.rs-online.com/web/p/hex-bolts/0190399</t>
  </si>
  <si>
    <t>https://benl.rs-online.com/web/p/hex-nuts/1925605</t>
  </si>
  <si>
    <t>Inbegrepen in prijs M2.BGE1</t>
  </si>
  <si>
    <t>Inbegrepen in prijs M2.MAA1</t>
  </si>
  <si>
    <t>https://www.zelektro.be/aardingsdraad-16mm.html?utm_source=google&amp;utm_medium=cpc&amp;utm_campaign=HYB+%7C+Performance+Max+%7C+Over-index+%7C+BENL&amp;gad_source=1&amp;gad_campaignid=21704857846&amp;gbraid=0AAAAADnyLPHAPDiE0Q2_-XM7aT5VTqm4-&amp;gclid=Cj0KCQjw4a3OBhCHARIsAChaqJNFLes1v4RTqGejWFqnqGFrrTvZFjGbHmeMO-RV5rFwSSwuvpgWti0aAmlzEALw_wcB#attr=600,601,39780</t>
  </si>
  <si>
    <t>https://benl.rs-online.com/web/p/air-hoses/0366798</t>
  </si>
  <si>
    <t>https://maedlernorthamerica.com/partshop/splined-hub-din-iso-14-kn-21x25-length-55mm-diameter-40mm-steel-c45pb-pn-64830600/?srsltid=AfmBOoqJnqKhBRLv1UP5olLPqNlqUXlsxU8hFcseHlPEqguMkQN0bm2R</t>
  </si>
  <si>
    <t>Drive van de servomotor (module safe brake relay)</t>
  </si>
  <si>
    <t>https://www.mijnijzerwaren.nl/profielen/44355-dorpelstrip-ah5-h-prof-50mm-haar-22m-8714634051605.html?gad_source=1&amp;gad_campaignid=21064707544&amp;gbraid=0AAAAADirQwYegn5iM2CRBDZwjfnw1yul0&amp;gclid=Cj0KCQjw4a3OBhCHARIsAChaqJOnltQyci2Msub35vMbMksCWvv_nKw9vU1K4QgyIT9fu9yJ02TMtrwaAob0EALw_wcB</t>
  </si>
  <si>
    <r>
      <t xml:space="preserve">Geschatte prijs volgens deze bron </t>
    </r>
    <r>
      <rPr>
        <sz val="11"/>
        <rFont val="Calibri"/>
        <family val="2"/>
        <scheme val="minor"/>
      </rPr>
      <t>// Aantal stuks: 2; Prijs per stuk: 1605,79 €</t>
    </r>
  </si>
  <si>
    <t>Aantal stuks: 2; Prijs per stuk: 4,72 €</t>
  </si>
  <si>
    <t>https://www.automation24.be/nl/trekontlasting-murrplastik-87705010-zl-fix-w-25?previewPriceListId=6&amp;gad_source=1&amp;gad_campaignid=22448516810&amp;gbraid=0AAAAACXhQngc4pgBXRLv5LMC-vrwN1Mpj&amp;gclid=CjwKCAjwhLPOBhBiEiwA8_wJHMRfpTr_lUsbpVoYN7eJnP273M4QZsI5XgCIDHkBmBDuse-5wpKggRoC16IQAvD_BwE</t>
  </si>
  <si>
    <t>Aantal stuks: 2; Prijs per stuk: 36,65 €</t>
  </si>
  <si>
    <t>Aantal stuks: 3; Prijs per stuk: 104,99 €</t>
  </si>
  <si>
    <t>Aantal stuks: 34; Prijs per stuk: 28,52 €</t>
  </si>
  <si>
    <t>Aantal stuks: 2; Prijs per stuk: 96,03 €</t>
  </si>
  <si>
    <t>Aantal stuks: 14; Prijs per stuk: 31,46 €</t>
  </si>
  <si>
    <t>Aantal stuks: 2; Prijs per stuk: 10,64 €</t>
  </si>
  <si>
    <t>Aantal stuks: 24; Prijs per stuk: 42,87 €</t>
  </si>
  <si>
    <t>Aantal stuks: 20; Prijs per stuk: 13,82 €</t>
  </si>
  <si>
    <t>Slechts één eenheid nodig voor lengte M2</t>
  </si>
  <si>
    <t>Aantal stuks: 7; Prijs per stuk: 23,13 €</t>
  </si>
  <si>
    <t>Aantal stuks: 2; Prijs per stuk: 286,12 €</t>
  </si>
  <si>
    <t>Inbegrepen in prijs M2.ULL3</t>
  </si>
  <si>
    <t>https://benl.rs-online.com/web/p/linear-shafts/7243421</t>
  </si>
  <si>
    <t>Ander materiaal</t>
  </si>
  <si>
    <t>Ander materiaal; Prijs op aanvraag</t>
  </si>
  <si>
    <t>Aantal stuks: 2; Prijs onbekend</t>
  </si>
  <si>
    <t>Prijs onbekend</t>
  </si>
  <si>
    <t>https://www.mcb.eu/nl_BE/rvs-platen/vlak/rvs-plaat-band-type-304-304l-warmgewalst-finish-1d-quarto/p/2500-0012?</t>
  </si>
  <si>
    <t>Steel</t>
  </si>
  <si>
    <t>https://www.aluminiumopmaatgemaakt.be/aluminium-platen/vlakke-dikke-plaat.html</t>
  </si>
  <si>
    <t>Aantal stuks: 2; Prijs per stuk: 32,50 €</t>
  </si>
  <si>
    <t>https://www.aluminiumopmaatgemaakt.be/aluminium-platen/vlakke-aluminium-plaat-geslepen.html</t>
  </si>
  <si>
    <t>https://uk.misumi-ec.com/vona2/detail/110300537970/</t>
  </si>
  <si>
    <t>Aantal stuks: 3; Prijs per stuk onbekend</t>
  </si>
  <si>
    <t>Tandriemschijf 1</t>
  </si>
  <si>
    <t>Tandriemschijf 2</t>
  </si>
  <si>
    <t>Tandriem</t>
  </si>
  <si>
    <t>Geen geschikte basiscomponent gevonden</t>
  </si>
  <si>
    <t>Inbegrepen in prijs M2.WQA2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</si>
</sst>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\ &quot;€&quot;_-;\-* #,##0\ &quot;€&quot;_-;_-* &quot;-&quot;??\ &quot;€&quot;_-;_-@_-"/>
    <numFmt numFmtId="166" formatCode="0.0"/>
    <numFmt numFmtId="167" formatCode="#,##0.00\ [$€-1];[Red]\-#,##0.00\ [$€-1]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rgb="FF000000"/>
      <name val="Aptos Narrow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164" fontId="7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2" applyNumberFormat="1" applyFont="1"/>
    <xf numFmtId="164" fontId="0" fillId="0" borderId="0" xfId="2" applyFont="1" applyAlignment="1">
      <alignment horizontal="left"/>
    </xf>
    <xf numFmtId="166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0" fillId="0" borderId="0" xfId="0" applyFont="1"/>
    <xf numFmtId="49" fontId="11" fillId="0" borderId="0" xfId="0" applyNumberFormat="1" applyFont="1"/>
    <xf numFmtId="49" fontId="12" fillId="0" borderId="0" xfId="0" applyNumberFormat="1" applyFont="1"/>
    <xf numFmtId="49" fontId="8" fillId="0" borderId="1" xfId="0" applyNumberFormat="1" applyFont="1" applyBorder="1"/>
    <xf numFmtId="164" fontId="2" fillId="0" borderId="0" xfId="0" applyNumberFormat="1" applyFont="1"/>
    <xf numFmtId="164" fontId="0" fillId="0" borderId="2" xfId="2" applyFont="1" applyBorder="1"/>
    <xf numFmtId="164" fontId="0" fillId="0" borderId="2" xfId="0" applyNumberFormat="1" applyBorder="1"/>
    <xf numFmtId="164" fontId="10" fillId="0" borderId="2" xfId="2" applyFont="1" applyBorder="1"/>
    <xf numFmtId="164" fontId="14" fillId="0" borderId="0" xfId="0" applyNumberFormat="1" applyFont="1"/>
    <xf numFmtId="0" fontId="13" fillId="0" borderId="0" xfId="0" applyFont="1" applyAlignment="1">
      <alignment horizontal="center"/>
    </xf>
    <xf numFmtId="0" fontId="15" fillId="0" borderId="0" xfId="1" applyFont="1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1" applyAlignment="1">
      <alignment horizontal="left"/>
    </xf>
    <xf numFmtId="164" fontId="7" fillId="0" borderId="2" xfId="2" applyFont="1" applyBorder="1" applyAlignment="1">
      <alignment horizontal="center"/>
    </xf>
    <xf numFmtId="0" fontId="5" fillId="0" borderId="0" xfId="1" applyAlignment="1">
      <alignment horizontal="center"/>
    </xf>
    <xf numFmtId="164" fontId="0" fillId="0" borderId="2" xfId="0" applyNumberFormat="1" applyBorder="1" applyAlignment="1">
      <alignment horizontal="center"/>
    </xf>
    <xf numFmtId="0" fontId="15" fillId="0" borderId="0" xfId="1" applyFont="1" applyAlignment="1">
      <alignment horizontal="center"/>
    </xf>
    <xf numFmtId="164" fontId="0" fillId="0" borderId="2" xfId="2" applyFont="1" applyBorder="1" applyAlignment="1">
      <alignment horizontal="center"/>
    </xf>
    <xf numFmtId="167" fontId="0" fillId="0" borderId="2" xfId="0" applyNumberFormat="1" applyBorder="1" applyAlignment="1">
      <alignment horizontal="right"/>
    </xf>
    <xf numFmtId="166" fontId="9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1" applyFont="1" applyAlignment="1">
      <alignment horizontal="left"/>
    </xf>
  </cellXfs>
  <cellStyles count="3">
    <cellStyle name="Hyperlink" xfId="1" builtinId="8"/>
    <cellStyle name="Standaard" xfId="0" builtinId="0"/>
    <cellStyle name="Valuta" xfId="2" builtinId="4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  <border diagonalUp="0" diagonalDown="0" outline="0">
        <left/>
        <right style="thin">
          <color theme="8"/>
        </right>
        <top/>
        <bottom/>
      </border>
    </dxf>
    <dxf>
      <numFmt numFmtId="16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8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  <border diagonalUp="0" diagonalDown="0">
        <left/>
        <right style="thin">
          <color theme="8"/>
        </right>
        <top/>
        <bottom/>
        <vertical/>
        <horizontal/>
      </border>
    </dxf>
    <dxf>
      <font>
        <i/>
      </font>
      <numFmt numFmtId="0" formatCode="General"/>
    </dxf>
    <dxf>
      <font>
        <i/>
      </font>
      <numFmt numFmtId="0" formatCode="General"/>
    </dxf>
    <dxf>
      <font>
        <i val="0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8"/>
        </right>
        <top/>
        <bottom/>
      </border>
    </dxf>
    <dxf>
      <font>
        <i val="0"/>
      </font>
      <alignment horizontal="left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i val="0"/>
      </font>
      <numFmt numFmtId="166" formatCode="0.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30</xdr:row>
      <xdr:rowOff>160020</xdr:rowOff>
    </xdr:from>
    <xdr:to>
      <xdr:col>6</xdr:col>
      <xdr:colOff>1591881</xdr:colOff>
      <xdr:row>60</xdr:row>
      <xdr:rowOff>65522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AF402-02B2-4D2B-2795-177C754F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5280660"/>
          <a:ext cx="8640381" cy="53919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C874E-EB54-4A35-9825-F9ECABB7DE11}" name="ComponentList" displayName="ComponentList" ref="A3:O61" totalsRowCount="1" headerRowDxfId="21">
  <autoFilter ref="A3:O60" xr:uid="{C2AC874E-EB54-4A35-9825-F9ECABB7DE11}"/>
  <sortState xmlns:xlrd2="http://schemas.microsoft.com/office/spreadsheetml/2017/richdata2" ref="A4:O21">
    <sortCondition ref="A3:A21"/>
  </sortState>
  <tableColumns count="15">
    <tableColumn id="1" xr3:uid="{352DFC0F-DB9A-4F90-8E65-FBDC9901D3E9}" name="#" totalsRowLabel="Total" dataDxfId="20" totalsRowDxfId="7"/>
    <tableColumn id="2" xr3:uid="{321D8479-4437-4E68-8477-A85B4051E2DC}" name="Description" dataDxfId="19" totalsRowDxfId="6"/>
    <tableColumn id="3" xr3:uid="{3BBD4B6A-213E-47D3-8F21-FD1C3FB981DF}" name="RDS reference" dataDxfId="18" totalsRowDxfId="5"/>
    <tableColumn id="4" xr3:uid="{BE1C8536-E92B-4619-87D3-212A44DD64D4}" name="Extra info" dataDxfId="17" totalsRowDxfId="4"/>
    <tableColumn id="5" xr3:uid="{6541A640-5027-43E4-BE67-DCC4D661E49A}" name="Purchase link" dataDxfId="16" totalsRowDxfId="3" dataCellStyle="Hyperlink"/>
    <tableColumn id="6" xr3:uid="{C3973739-C0EF-481D-A250-A79ED33D4073}" name="Base cost" totalsRowFunction="sum" dataDxfId="15" totalsRowDxfId="2"/>
    <tableColumn id="7" xr3:uid="{CFFDAA93-3C16-4D2C-B7DD-2186407D5E25}" name="Production technique"/>
    <tableColumn id="8" xr3:uid="{1F75C576-BB36-4560-B2E6-7EB0AA5AFCF8}" name="Material"/>
    <tableColumn id="9" xr3:uid="{1F52B54F-D45B-4C3D-A16A-05B14D329B8E}" name="Unit of technique" dataDxfId="14">
      <calculatedColumnFormula>_xlfn.XLOOKUP(ComponentList[[#This Row],[Production technique]],'Cost of Production Techniques'!$C$4:$C$13,'Cost of Production Techniques'!$D$4:$D$13,"")</calculatedColumnFormula>
    </tableColumn>
    <tableColumn id="10" xr3:uid="{8B292B33-33B6-4516-856E-A3130D8FE5AA}" name="Amount"/>
    <tableColumn id="11" xr3:uid="{ACD20662-26F2-433A-B706-3459B1534B26}" name="ISO 2768 Accuracy"/>
    <tableColumn id="12" xr3:uid="{AD88B757-8110-4B2A-822A-BFC627E9E8EF}" name="Multiplier" dataDxfId="13">
      <calculatedColumnFormula>_xlfn.XLOOKUP(ComponentList[[#This Row],[ISO 2768 Accuracy]],'Cost of Production Techniques'!$C$18:$C$21,'Cost of Production Techniques'!$D$18:$D$21,"")</calculatedColumnFormula>
    </tableColumn>
    <tableColumn id="13" xr3:uid="{4538FC3E-B86B-4D3C-B3AC-09515F134FDE}" name="# of clampings"/>
    <tableColumn id="14" xr3:uid="{7D00F2B7-5460-458B-A3D7-ECE241B76871}" name="Manufacturing cost" totalsRowFunction="sum" dataDxfId="12" totalsRowDxfId="1">
      <calculatedColumnFormula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calculatedColumnFormula>
    </tableColumn>
    <tableColumn id="15" xr3:uid="{D5D82742-C566-4373-8335-8285DE613D01}" name="Total cost" totalsRowFunction="sum" dataDxfId="11" totalsRowDxfId="0">
      <calculatedColumnFormula array="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calculatedColumnFormula>
    </tableColumn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ieportal.siemens.com/en-ww/products-services/detail/6SL3040-1LA01-0AA0?tree=CatalogTree" TargetMode="External"/><Relationship Id="rId18" Type="http://schemas.openxmlformats.org/officeDocument/2006/relationships/hyperlink" Target="https://benl.rs-online.com/web/p/hex-bolts/0190232" TargetMode="External"/><Relationship Id="rId26" Type="http://schemas.openxmlformats.org/officeDocument/2006/relationships/hyperlink" Target="https://www.aluminiumopmaatgemaakt.be/aluminium-platen/vlakke-dikke-plaat.html" TargetMode="External"/><Relationship Id="rId3" Type="http://schemas.openxmlformats.org/officeDocument/2006/relationships/hyperlink" Target="https://sieportal.siemens.com/en-be/products-services/detail/1FG1501-1RE02-2FA2-Z?tree=CatalogTree" TargetMode="External"/><Relationship Id="rId21" Type="http://schemas.openxmlformats.org/officeDocument/2006/relationships/hyperlink" Target="https://www.ebay.de/itm/227185692369?chn=ps&amp;_ul=DE&amp;mkevt=1&amp;mkcid=28&amp;google_free_listing_action=view_item" TargetMode="External"/><Relationship Id="rId7" Type="http://schemas.openxmlformats.org/officeDocument/2006/relationships/hyperlink" Target="https://www.maedler.de/Article/16276000" TargetMode="External"/><Relationship Id="rId12" Type="http://schemas.openxmlformats.org/officeDocument/2006/relationships/hyperlink" Target="https://www.cnc-shopping.com/en/6sl3040-1la01-0aa0-siemens-sinamics-s120-cu310-2-pn-control-unit.html" TargetMode="External"/><Relationship Id="rId17" Type="http://schemas.openxmlformats.org/officeDocument/2006/relationships/hyperlink" Target="https://benl.rs-online.com/web/p/hex-bolts/0520150" TargetMode="External"/><Relationship Id="rId25" Type="http://schemas.openxmlformats.org/officeDocument/2006/relationships/hyperlink" Target="https://benl.rs-online.com/web/p/linear-shafts/7243421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www.sick.com/be/nl/catalog/producten/lidar-en-radarsensoren/lidar-sensoren/tim/tim361s-2134101/p/p563066?tab=detail" TargetMode="External"/><Relationship Id="rId16" Type="http://schemas.openxmlformats.org/officeDocument/2006/relationships/hyperlink" Target="https://befr.rs-online.com/web/p/safety-relays/2166423" TargetMode="External"/><Relationship Id="rId20" Type="http://schemas.openxmlformats.org/officeDocument/2006/relationships/hyperlink" Target="https://www.zelektro.be/aardingsdraad-16mm.html?utm_source=google&amp;utm_medium=cpc&amp;utm_campaign=HYB+%7C+Performance+Max+%7C+Over-index+%7C+BENL&amp;gad_source=1&amp;gad_campaignid=21704857846&amp;gbraid=0AAAAADnyLPHAPDiE0Q2_-XM7aT5VTqm4-&amp;gclid=Cj0KCQjw4a3OBhCHARIsAChaqJNFLes1v4RTqGejWFqnqGFrrTvZFjGbHmeMO-RV5rFwSSwuvpgWti0aAmlzEALw_wcB" TargetMode="External"/><Relationship Id="rId29" Type="http://schemas.openxmlformats.org/officeDocument/2006/relationships/hyperlink" Target="https://www.aluminiumopmaatgemaakt.be/aluminium-platen/vlakke-aluminium-plaat-geslepen.html" TargetMode="External"/><Relationship Id="rId1" Type="http://schemas.openxmlformats.org/officeDocument/2006/relationships/hyperlink" Target="https://www.rls.si/eng/artos-dhr-rotary-absolute-magnetic-encoder-system" TargetMode="External"/><Relationship Id="rId6" Type="http://schemas.openxmlformats.org/officeDocument/2006/relationships/hyperlink" Target="https://www.ruland.com/mbc80-40-32-a.html?srsltid=AfmBOoqTRnVVlPM8bz4pwRrT4qe5Hy7IWOfIZj1MImaEQfmuWbWqtz7r" TargetMode="External"/><Relationship Id="rId11" Type="http://schemas.openxmlformats.org/officeDocument/2006/relationships/hyperlink" Target="https://www.conrad.be/nl/p/igus-trl-30-050-0-kabelrups-draaibeweging-742967.html" TargetMode="External"/><Relationship Id="rId24" Type="http://schemas.openxmlformats.org/officeDocument/2006/relationships/hyperlink" Target="https://www.aluminiumopmaatgemaakt.be/aluminium-platen/vlakke-aluminium-plaat-geslepen.html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www.radwell.co.uk/Buy/SIEMENS/SIEMENS/1FG1501-1RE03-2FA1-Z?redirect=true" TargetMode="External"/><Relationship Id="rId15" Type="http://schemas.openxmlformats.org/officeDocument/2006/relationships/hyperlink" Target="https://sieportal.siemens.com/en-ww/products-services/detail/6SL3201-0BE14-3AA0?tree=CatalogTree" TargetMode="External"/><Relationship Id="rId23" Type="http://schemas.openxmlformats.org/officeDocument/2006/relationships/hyperlink" Target="https://www.automation24.be/nl/trekontlasting-murrplastik-87705010-zl-fix-w-25?previewPriceListId=6&amp;gad_source=1&amp;gad_campaignid=22448516810&amp;gbraid=0AAAAACXhQngc4pgBXRLv5LMC-vrwN1Mpj&amp;gclid=CjwKCAjwhLPOBhBiEiwA8_wJHMRfpTr_lUsbpVoYN7eJnP273M4QZsI5XgCIDHkBmBDuse-5wpKggRoC16IQAvD_BwE" TargetMode="External"/><Relationship Id="rId28" Type="http://schemas.openxmlformats.org/officeDocument/2006/relationships/hyperlink" Target="https://www.aluminiumopmaatgemaakt.be/aluminium-platen/vlakke-dikke-plaat.html" TargetMode="External"/><Relationship Id="rId10" Type="http://schemas.openxmlformats.org/officeDocument/2006/relationships/hyperlink" Target="https://www.conrad.be/nl/p/blickle-dk-luh-3-plaatstalen-draaikrans-1-stuk-s-3051259.html?experience=b2c&amp;cq_src=google_ads&amp;cq_cmp=21348122838&amp;cq_term=&amp;cq_plac=&amp;cq_net=x&amp;cq_plt=gp&amp;utm_source=google&amp;utm_medium=cpc&amp;utm_campaign=BE+-+PMAX+-+Nonbrand+-+Zero+traffic&amp;utm_id=21348122838&amp;gad_source=1&amp;gad_campaignid=21354377450&amp;gbraid=0AAAAAD8JkRpdSX6NUwdvjiXIKrmmzGx0l&amp;gclid=Cj0KCQjw4a3OBhCHARIsAChaqJOoMSXWckYmesppYoN_yxypOULBtDMIQ5yYE4erG9vcPXxPZhu6r6UaArbmEALw_wcB&amp;refresh=true" TargetMode="External"/><Relationship Id="rId19" Type="http://schemas.openxmlformats.org/officeDocument/2006/relationships/hyperlink" Target="https://benl.rs-online.com/web/p/hex-nuts/1925605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www.maedler.de/product/1643/344/2103/keilwellen-aehnlich-din-iso-14-stahl-c45-laenge-3000-mm?result=64847600" TargetMode="External"/><Relationship Id="rId9" Type="http://schemas.openxmlformats.org/officeDocument/2006/relationships/hyperlink" Target="https://www.skf.com/sg/products/rolling-bearings/ball-bearings/self-aligning-ball-bearings/productid-1208%20ETN9%2FC3" TargetMode="External"/><Relationship Id="rId14" Type="http://schemas.openxmlformats.org/officeDocument/2006/relationships/hyperlink" Target="https://sieportal.siemens.com/en-ww/products-services/detail/6SL3210-1PE12-3AL1?tree=CatalogTree" TargetMode="External"/><Relationship Id="rId22" Type="http://schemas.openxmlformats.org/officeDocument/2006/relationships/hyperlink" Target="https://benl.rs-online.com/web/p/air-hoses/0366798" TargetMode="External"/><Relationship Id="rId27" Type="http://schemas.openxmlformats.org/officeDocument/2006/relationships/hyperlink" Target="https://www.mcb.eu/nl_BE/rvs-platen/vlak/rvs-plaat-band-type-304-304l-warmgewalst-finish-1d-quarto/p/2500-0012?" TargetMode="External"/><Relationship Id="rId30" Type="http://schemas.openxmlformats.org/officeDocument/2006/relationships/hyperlink" Target="https://uk.misumi-ec.com/vona2/detail/110300537970/" TargetMode="External"/><Relationship Id="rId8" Type="http://schemas.openxmlformats.org/officeDocument/2006/relationships/hyperlink" Target="https://www.maedler.de/product/1643/344/keilnaben-mit-flansch-din-iso-14-edelstahl?result=6489950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B27-5F08-4345-AD04-9B47D0500C4E}">
  <dimension ref="A1:O61"/>
  <sheetViews>
    <sheetView tabSelected="1" topLeftCell="A2" zoomScale="90" zoomScaleNormal="90" workbookViewId="0">
      <selection activeCell="D18" sqref="D18"/>
    </sheetView>
  </sheetViews>
  <sheetFormatPr defaultRowHeight="14.4" x14ac:dyDescent="0.3"/>
  <cols>
    <col min="1" max="1" width="9.109375" style="8" customWidth="1"/>
    <col min="2" max="2" width="46.88671875" customWidth="1"/>
    <col min="3" max="3" width="28.88671875" customWidth="1"/>
    <col min="4" max="4" width="34.44140625" customWidth="1"/>
    <col min="5" max="5" width="22.21875" customWidth="1"/>
    <col min="6" max="6" width="32.44140625" customWidth="1"/>
    <col min="7" max="7" width="23.77734375" bestFit="1" customWidth="1"/>
    <col min="8" max="8" width="11.109375" bestFit="1" customWidth="1"/>
    <col min="9" max="9" width="28.5546875" bestFit="1" customWidth="1"/>
    <col min="10" max="10" width="10.77734375" bestFit="1" customWidth="1"/>
    <col min="11" max="11" width="20.21875" bestFit="1" customWidth="1"/>
    <col min="12" max="12" width="12.44140625" bestFit="1" customWidth="1"/>
    <col min="13" max="13" width="16.6640625" bestFit="1" customWidth="1"/>
    <col min="14" max="14" width="21.44140625" bestFit="1" customWidth="1"/>
    <col min="15" max="15" width="12.33203125" bestFit="1" customWidth="1"/>
  </cols>
  <sheetData>
    <row r="1" spans="1:15" ht="31.2" x14ac:dyDescent="0.6">
      <c r="A1" s="31" t="s">
        <v>141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5" ht="18" x14ac:dyDescent="0.35">
      <c r="A2" s="32" t="s">
        <v>4</v>
      </c>
      <c r="B2" s="32"/>
      <c r="C2" s="32"/>
      <c r="D2" s="32"/>
      <c r="E2" s="32"/>
      <c r="F2" s="32"/>
      <c r="G2" s="33" t="s">
        <v>43</v>
      </c>
      <c r="H2" s="33"/>
      <c r="I2" s="33"/>
      <c r="J2" s="33"/>
      <c r="K2" s="33"/>
      <c r="L2" s="33"/>
      <c r="M2" s="33"/>
      <c r="N2" s="33"/>
      <c r="O2" s="33"/>
    </row>
    <row r="3" spans="1:15" s="9" customFormat="1" ht="15.6" x14ac:dyDescent="0.3">
      <c r="A3" s="10" t="s">
        <v>29</v>
      </c>
      <c r="B3" s="10" t="s">
        <v>30</v>
      </c>
      <c r="C3" s="10" t="s">
        <v>0</v>
      </c>
      <c r="D3" s="10" t="s">
        <v>5</v>
      </c>
      <c r="E3" s="10" t="s">
        <v>31</v>
      </c>
      <c r="F3" s="14" t="s">
        <v>45</v>
      </c>
      <c r="G3" s="12" t="s">
        <v>2</v>
      </c>
      <c r="H3" s="12" t="s">
        <v>1</v>
      </c>
      <c r="I3" s="13" t="s">
        <v>32</v>
      </c>
      <c r="J3" s="12" t="s">
        <v>33</v>
      </c>
      <c r="K3" s="12" t="s">
        <v>28</v>
      </c>
      <c r="L3" s="13" t="s">
        <v>27</v>
      </c>
      <c r="M3" s="12" t="s">
        <v>34</v>
      </c>
      <c r="N3" s="13" t="s">
        <v>35</v>
      </c>
      <c r="O3" s="13" t="s">
        <v>44</v>
      </c>
    </row>
    <row r="4" spans="1:15" x14ac:dyDescent="0.3">
      <c r="A4" s="22">
        <v>1</v>
      </c>
      <c r="B4" s="23" t="s">
        <v>86</v>
      </c>
      <c r="C4" s="23" t="s">
        <v>46</v>
      </c>
      <c r="D4" s="23"/>
      <c r="E4" s="24" t="s">
        <v>135</v>
      </c>
      <c r="F4" s="25">
        <v>530.37</v>
      </c>
      <c r="I4" s="11" t="str">
        <f>_xlfn.XLOOKUP(ComponentList[[#This Row],[Production technique]],'Cost of Production Techniques'!$C$4:$C$13,'Cost of Production Techniques'!$D$4:$D$13,"")</f>
        <v/>
      </c>
      <c r="L4" s="11" t="str">
        <f>_xlfn.XLOOKUP(ComponentList[[#This Row],[ISO 2768 Accuracy]],'Cost of Production Techniques'!$C$18:$C$21,'Cost of Production Techniques'!$D$18:$D$21,"")</f>
        <v/>
      </c>
      <c r="N4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4" s="15" cm="1">
        <f t="array" ref="O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Row],['#]],0)=ROUNDDOWN(ComponentList['#],0))),"")</f>
        <v>530.37</v>
      </c>
    </row>
    <row r="5" spans="1:15" x14ac:dyDescent="0.3">
      <c r="A5" s="22">
        <v>2</v>
      </c>
      <c r="B5" s="23" t="s">
        <v>87</v>
      </c>
      <c r="C5" s="23" t="s">
        <v>47</v>
      </c>
      <c r="D5" s="26" t="s">
        <v>157</v>
      </c>
      <c r="E5" s="24" t="s">
        <v>133</v>
      </c>
      <c r="F5" s="25">
        <v>3211.58</v>
      </c>
      <c r="I5" s="11" t="str">
        <f>_xlfn.XLOOKUP(ComponentList[[#This Row],[Production technique]],'Cost of Production Techniques'!$C$4:$C$13,'Cost of Production Techniques'!$D$4:$D$13,"")</f>
        <v/>
      </c>
      <c r="L5" s="11" t="str">
        <f>_xlfn.XLOOKUP(ComponentList[[#This Row],[ISO 2768 Accuracy]],'Cost of Production Techniques'!$C$18:$C$21,'Cost of Production Techniques'!$D$18:$D$21,"")</f>
        <v/>
      </c>
      <c r="N5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5" s="15" cm="1">
        <f t="array" ref="O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3211.58</v>
      </c>
    </row>
    <row r="6" spans="1:15" x14ac:dyDescent="0.3">
      <c r="A6" s="22">
        <v>3</v>
      </c>
      <c r="B6" s="23" t="s">
        <v>139</v>
      </c>
      <c r="C6" s="23" t="s">
        <v>48</v>
      </c>
      <c r="D6" s="26" t="s">
        <v>129</v>
      </c>
      <c r="E6" s="24" t="s">
        <v>138</v>
      </c>
      <c r="F6" s="25">
        <v>1100</v>
      </c>
      <c r="I6" s="11" t="str">
        <f>_xlfn.XLOOKUP(ComponentList[[#This Row],[Production technique]],'Cost of Production Techniques'!$C$4:$C$13,'Cost of Production Techniques'!$D$4:$D$13,"")</f>
        <v/>
      </c>
      <c r="L6" s="11" t="str">
        <f>_xlfn.XLOOKUP(ComponentList[[#This Row],[ISO 2768 Accuracy]],'Cost of Production Techniques'!$C$18:$C$21,'Cost of Production Techniques'!$D$18:$D$21,"")</f>
        <v/>
      </c>
      <c r="N6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6" s="15" cm="1">
        <f t="array" ref="O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1917.98</v>
      </c>
    </row>
    <row r="7" spans="1:15" x14ac:dyDescent="0.3">
      <c r="A7" s="22">
        <v>3.1</v>
      </c>
      <c r="B7" s="23" t="s">
        <v>137</v>
      </c>
      <c r="C7" s="23"/>
      <c r="D7" s="26" t="s">
        <v>129</v>
      </c>
      <c r="E7" s="24" t="s">
        <v>140</v>
      </c>
      <c r="F7" s="25">
        <v>529.16999999999996</v>
      </c>
      <c r="I7" s="11" t="str">
        <f>_xlfn.XLOOKUP(ComponentList[[#This Row],[Production technique]],'Cost of Production Techniques'!$C$4:$C$13,'Cost of Production Techniques'!$D$4:$D$13,"")</f>
        <v/>
      </c>
      <c r="L7" s="11" t="str">
        <f>_xlfn.XLOOKUP(ComponentList[[#This Row],[ISO 2768 Accuracy]],'Cost of Production Techniques'!$C$18:$C$21,'Cost of Production Techniques'!$D$18:$D$21,"")</f>
        <v/>
      </c>
      <c r="N7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7" s="15" cm="1">
        <f t="array" ref="O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8" spans="1:15" x14ac:dyDescent="0.3">
      <c r="A8" s="22">
        <v>3.2</v>
      </c>
      <c r="B8" s="23" t="s">
        <v>143</v>
      </c>
      <c r="C8" s="23"/>
      <c r="D8" s="26" t="s">
        <v>129</v>
      </c>
      <c r="E8" s="24" t="s">
        <v>142</v>
      </c>
      <c r="F8" s="25">
        <v>125.05</v>
      </c>
      <c r="I8" s="11" t="str">
        <f>_xlfn.XLOOKUP(ComponentList[[#This Row],[Production technique]],'Cost of Production Techniques'!$C$4:$C$13,'Cost of Production Techniques'!$D$4:$D$13,"")</f>
        <v/>
      </c>
      <c r="L8" s="11" t="str">
        <f>_xlfn.XLOOKUP(ComponentList[[#This Row],[ISO 2768 Accuracy]],'Cost of Production Techniques'!$C$18:$C$21,'Cost of Production Techniques'!$D$18:$D$21,"")</f>
        <v/>
      </c>
      <c r="N8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8" s="15" cm="1">
        <f t="array" ref="O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9" spans="1:15" x14ac:dyDescent="0.3">
      <c r="A9" s="22">
        <v>3.3</v>
      </c>
      <c r="B9" s="23" t="s">
        <v>155</v>
      </c>
      <c r="C9" s="23"/>
      <c r="D9" s="26" t="s">
        <v>129</v>
      </c>
      <c r="E9" s="24" t="s">
        <v>144</v>
      </c>
      <c r="F9" s="25">
        <v>163.76</v>
      </c>
      <c r="I9" s="11" t="str">
        <f>_xlfn.XLOOKUP(ComponentList[[#This Row],[Production technique]],'Cost of Production Techniques'!$C$4:$C$13,'Cost of Production Techniques'!$D$4:$D$13,"")</f>
        <v/>
      </c>
      <c r="L9" s="11" t="str">
        <f>_xlfn.XLOOKUP(ComponentList[[#This Row],[ISO 2768 Accuracy]],'Cost of Production Techniques'!$C$18:$C$21,'Cost of Production Techniques'!$D$18:$D$21,"")</f>
        <v/>
      </c>
      <c r="N9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9" s="15" cm="1">
        <f t="array" ref="O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0" spans="1:15" x14ac:dyDescent="0.3">
      <c r="A10" s="22">
        <v>4</v>
      </c>
      <c r="B10" s="23" t="s">
        <v>88</v>
      </c>
      <c r="C10" s="23" t="s">
        <v>49</v>
      </c>
      <c r="D10" s="26" t="s">
        <v>129</v>
      </c>
      <c r="E10" s="24" t="s">
        <v>130</v>
      </c>
      <c r="F10" s="25">
        <v>40</v>
      </c>
      <c r="I10" s="11" t="str">
        <f>_xlfn.XLOOKUP(ComponentList[[#This Row],[Production technique]],'Cost of Production Techniques'!$C$4:$C$13,'Cost of Production Techniques'!$D$4:$D$13,"")</f>
        <v/>
      </c>
      <c r="L10" s="11" t="str">
        <f>_xlfn.XLOOKUP(ComponentList[[#This Row],[ISO 2768 Accuracy]],'Cost of Production Techniques'!$C$18:$C$21,'Cost of Production Techniques'!$D$18:$D$21,"")</f>
        <v/>
      </c>
      <c r="N10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0" s="15" cm="1">
        <f t="array" ref="O1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40</v>
      </c>
    </row>
    <row r="11" spans="1:15" x14ac:dyDescent="0.3">
      <c r="A11" s="22">
        <v>5</v>
      </c>
      <c r="B11" s="23" t="s">
        <v>89</v>
      </c>
      <c r="C11" s="23" t="s">
        <v>50</v>
      </c>
      <c r="D11" s="23" t="s">
        <v>171</v>
      </c>
      <c r="E11" s="24"/>
      <c r="F11" s="25">
        <v>0</v>
      </c>
      <c r="G11" t="s">
        <v>8</v>
      </c>
      <c r="H11" t="s">
        <v>178</v>
      </c>
      <c r="I11" s="11" t="str">
        <f>_xlfn.XLOOKUP(ComponentList[[#This Row],[Production technique]],'Cost of Production Techniques'!$C$4:$C$13,'Cost of Production Techniques'!$D$4:$D$13,"")</f>
        <v>Length to cut [cm]</v>
      </c>
      <c r="J11">
        <v>20</v>
      </c>
      <c r="K11" t="s">
        <v>24</v>
      </c>
      <c r="L11" s="11">
        <f>_xlfn.XLOOKUP(ComponentList[[#This Row],[ISO 2768 Accuracy]],'Cost of Production Techniques'!$C$18:$C$21,'Cost of Production Techniques'!$D$18:$D$21,"")</f>
        <v>1</v>
      </c>
      <c r="M11">
        <v>1</v>
      </c>
      <c r="N11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44</v>
      </c>
      <c r="O11" s="15" cm="1">
        <f t="array" ref="O1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44</v>
      </c>
    </row>
    <row r="12" spans="1:15" x14ac:dyDescent="0.3">
      <c r="A12" s="22">
        <v>6</v>
      </c>
      <c r="B12" s="23" t="s">
        <v>90</v>
      </c>
      <c r="C12" s="23" t="s">
        <v>51</v>
      </c>
      <c r="D12" s="23"/>
      <c r="E12" s="24" t="s">
        <v>156</v>
      </c>
      <c r="F12" s="25">
        <v>39.93</v>
      </c>
      <c r="I12" s="11"/>
      <c r="J12" s="11" t="str">
        <f>_xlfn.XLOOKUP(ComponentList[[#This Row],[Production technique]],'Cost of Production Techniques'!$C$4:$C$13,'Cost of Production Techniques'!$D$4:$D$13,"")</f>
        <v/>
      </c>
      <c r="L12" s="11" t="str">
        <f>_xlfn.XLOOKUP(ComponentList[[#This Row],[ISO 2768 Accuracy]],'Cost of Production Techniques'!$C$18:$C$21,'Cost of Production Techniques'!$D$18:$D$21,"")</f>
        <v/>
      </c>
      <c r="N12" s="16"/>
      <c r="O12" s="15" cm="1">
        <f t="array" ref="O1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39.93</v>
      </c>
    </row>
    <row r="13" spans="1:15" x14ac:dyDescent="0.3">
      <c r="A13" s="22">
        <v>7</v>
      </c>
      <c r="B13" s="23" t="s">
        <v>91</v>
      </c>
      <c r="C13" s="20" t="s">
        <v>52</v>
      </c>
      <c r="D13" s="28" t="s">
        <v>158</v>
      </c>
      <c r="E13" s="24" t="s">
        <v>159</v>
      </c>
      <c r="F13" s="25">
        <v>9.44</v>
      </c>
      <c r="I13" s="11" t="str">
        <f>_xlfn.XLOOKUP(ComponentList[[#This Row],[Production technique]],'Cost of Production Techniques'!$C$4:$C$13,'Cost of Production Techniques'!$D$4:$D$13,"")</f>
        <v/>
      </c>
      <c r="L13" s="11" t="str">
        <f>_xlfn.XLOOKUP(ComponentList[[#This Row],[ISO 2768 Accuracy]],'Cost of Production Techniques'!$C$18:$C$21,'Cost of Production Techniques'!$D$18:$D$21,"")</f>
        <v/>
      </c>
      <c r="N13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3" s="15" cm="1">
        <f t="array" ref="O1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9.44</v>
      </c>
    </row>
    <row r="14" spans="1:15" x14ac:dyDescent="0.3">
      <c r="A14" s="22">
        <v>8</v>
      </c>
      <c r="B14" s="23" t="s">
        <v>92</v>
      </c>
      <c r="C14" s="23" t="s">
        <v>53</v>
      </c>
      <c r="D14" s="23"/>
      <c r="E14" s="24" t="s">
        <v>136</v>
      </c>
      <c r="F14" s="25">
        <v>77.989999999999995</v>
      </c>
      <c r="I14" s="11" t="str">
        <f>_xlfn.XLOOKUP(ComponentList[[#This Row],[Production technique]],'Cost of Production Techniques'!$C$4:$C$13,'Cost of Production Techniques'!$D$4:$D$13,"")</f>
        <v/>
      </c>
      <c r="L14" s="11" t="str">
        <f>_xlfn.XLOOKUP(ComponentList[[#This Row],[ISO 2768 Accuracy]],'Cost of Production Techniques'!$C$18:$C$21,'Cost of Production Techniques'!$D$18:$D$21,"")</f>
        <v/>
      </c>
      <c r="N14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4" s="15" cm="1">
        <f t="array" ref="O1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77.989999999999995</v>
      </c>
    </row>
    <row r="15" spans="1:15" x14ac:dyDescent="0.3">
      <c r="A15" s="22">
        <v>9</v>
      </c>
      <c r="B15" s="23" t="s">
        <v>93</v>
      </c>
      <c r="C15" s="23" t="s">
        <v>54</v>
      </c>
      <c r="D15" s="23" t="s">
        <v>171</v>
      </c>
      <c r="E15" s="24"/>
      <c r="F15" s="25">
        <v>0</v>
      </c>
      <c r="G15" t="s">
        <v>8</v>
      </c>
      <c r="H15" t="s">
        <v>178</v>
      </c>
      <c r="I15" s="11" t="str">
        <f>_xlfn.XLOOKUP(ComponentList[[#This Row],[Production technique]],'Cost of Production Techniques'!$C$4:$C$13,'Cost of Production Techniques'!$D$4:$D$13,"")</f>
        <v>Length to cut [cm]</v>
      </c>
      <c r="J15">
        <v>50.54</v>
      </c>
      <c r="K15" t="s">
        <v>24</v>
      </c>
      <c r="L15" s="11">
        <f>_xlfn.XLOOKUP(ComponentList[[#This Row],[ISO 2768 Accuracy]],'Cost of Production Techniques'!$C$18:$C$21,'Cost of Production Techniques'!$D$18:$D$21,"")</f>
        <v>1</v>
      </c>
      <c r="M15">
        <v>1</v>
      </c>
      <c r="N15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50.108000000000004</v>
      </c>
      <c r="O15" s="15" cm="1">
        <f t="array" ref="O1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50.108000000000004</v>
      </c>
    </row>
    <row r="16" spans="1:15" x14ac:dyDescent="0.3">
      <c r="A16" s="22">
        <v>10</v>
      </c>
      <c r="B16" s="23" t="s">
        <v>94</v>
      </c>
      <c r="C16" s="23" t="s">
        <v>55</v>
      </c>
      <c r="D16" s="23" t="s">
        <v>176</v>
      </c>
      <c r="E16" s="21" t="s">
        <v>187</v>
      </c>
      <c r="F16" s="25">
        <v>0</v>
      </c>
      <c r="I16" s="11" t="str">
        <f>_xlfn.XLOOKUP(ComponentList[[#This Row],[Production technique]],'Cost of Production Techniques'!$C$4:$C$13,'Cost of Production Techniques'!$D$4:$D$13,"")</f>
        <v/>
      </c>
      <c r="L16" s="11" t="str">
        <f>_xlfn.XLOOKUP(ComponentList[[#This Row],[ISO 2768 Accuracy]],'Cost of Production Techniques'!$C$18:$C$21,'Cost of Production Techniques'!$D$18:$D$21,"")</f>
        <v/>
      </c>
      <c r="N16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6" s="15" cm="1">
        <f t="array" ref="O1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17" spans="1:15" x14ac:dyDescent="0.3">
      <c r="A17" s="22">
        <v>11</v>
      </c>
      <c r="B17" s="23" t="s">
        <v>95</v>
      </c>
      <c r="C17" s="23" t="s">
        <v>56</v>
      </c>
      <c r="D17" s="23"/>
      <c r="E17" s="24" t="s">
        <v>179</v>
      </c>
      <c r="F17" s="30">
        <v>284.81</v>
      </c>
      <c r="I17" s="11" t="str">
        <f>_xlfn.XLOOKUP(ComponentList[[#This Row],[Production technique]],'Cost of Production Techniques'!$C$4:$C$13,'Cost of Production Techniques'!$D$4:$D$13,"")</f>
        <v/>
      </c>
      <c r="L17" s="11" t="str">
        <f>_xlfn.XLOOKUP(ComponentList[[#This Row],[ISO 2768 Accuracy]],'Cost of Production Techniques'!$C$18:$C$21,'Cost of Production Techniques'!$D$18:$D$21,"")</f>
        <v/>
      </c>
      <c r="N17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17" s="15" cm="1">
        <f t="array" ref="O1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284.81</v>
      </c>
    </row>
    <row r="18" spans="1:15" x14ac:dyDescent="0.3">
      <c r="A18" s="22">
        <v>12</v>
      </c>
      <c r="B18" s="23" t="s">
        <v>96</v>
      </c>
      <c r="C18" s="23" t="s">
        <v>57</v>
      </c>
      <c r="D18" s="23"/>
      <c r="E18" s="24" t="s">
        <v>179</v>
      </c>
      <c r="F18" s="25">
        <v>284.81</v>
      </c>
      <c r="G18" t="s">
        <v>37</v>
      </c>
      <c r="H18" t="s">
        <v>6</v>
      </c>
      <c r="I18" s="11" t="str">
        <f>_xlfn.XLOOKUP(ComponentList[[#This Row],[Production technique]],'Cost of Production Techniques'!$C$4:$C$13,'Cost of Production Techniques'!$D$4:$D$13,"")</f>
        <v>Removed volume [cm³]</v>
      </c>
      <c r="J18">
        <v>210</v>
      </c>
      <c r="K18" t="s">
        <v>24</v>
      </c>
      <c r="L18" s="11">
        <f>_xlfn.XLOOKUP(ComponentList[[#This Row],[ISO 2768 Accuracy]],'Cost of Production Techniques'!$C$18:$C$21,'Cost of Production Techniques'!$D$18:$D$21,"")</f>
        <v>1</v>
      </c>
      <c r="M18">
        <v>1</v>
      </c>
      <c r="N18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82</v>
      </c>
      <c r="O18" s="15" cm="1">
        <f t="array" ref="O1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366.81</v>
      </c>
    </row>
    <row r="19" spans="1:15" x14ac:dyDescent="0.3">
      <c r="A19" s="22">
        <v>13</v>
      </c>
      <c r="B19" s="23" t="s">
        <v>97</v>
      </c>
      <c r="C19" s="23" t="s">
        <v>58</v>
      </c>
      <c r="D19" s="23" t="s">
        <v>180</v>
      </c>
      <c r="E19" s="24" t="s">
        <v>181</v>
      </c>
      <c r="F19" s="25">
        <v>65</v>
      </c>
      <c r="G19" t="s">
        <v>8</v>
      </c>
      <c r="H19" t="s">
        <v>6</v>
      </c>
      <c r="I19" s="11" t="str">
        <f>_xlfn.XLOOKUP(ComponentList[[#This Row],[Production technique]],'Cost of Production Techniques'!$C$4:$C$13,'Cost of Production Techniques'!$D$4:$D$13,"")</f>
        <v>Length to cut [cm]</v>
      </c>
      <c r="J19">
        <v>162</v>
      </c>
      <c r="K19" t="s">
        <v>24</v>
      </c>
      <c r="L19" s="11">
        <f>_xlfn.XLOOKUP(ComponentList[[#This Row],[ISO 2768 Accuracy]],'Cost of Production Techniques'!$C$18:$C$21,'Cost of Production Techniques'!$D$18:$D$21,"")</f>
        <v>1</v>
      </c>
      <c r="M19">
        <v>1</v>
      </c>
      <c r="N19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72.400000000000006</v>
      </c>
      <c r="O19" s="15" cm="1">
        <f t="array" ref="O1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137.4</v>
      </c>
    </row>
    <row r="20" spans="1:15" x14ac:dyDescent="0.3">
      <c r="A20" s="22">
        <v>14</v>
      </c>
      <c r="B20" s="23" t="s">
        <v>98</v>
      </c>
      <c r="C20" s="23" t="s">
        <v>59</v>
      </c>
      <c r="D20" s="23"/>
      <c r="E20" s="24" t="s">
        <v>181</v>
      </c>
      <c r="F20" s="25">
        <v>8.7200000000000006</v>
      </c>
      <c r="I20" s="11" t="str">
        <f>_xlfn.XLOOKUP(ComponentList[[#This Row],[Production technique]],'Cost of Production Techniques'!$C$4:$C$13,'Cost of Production Techniques'!$D$4:$D$13,"")</f>
        <v/>
      </c>
      <c r="L20" s="11" t="str">
        <f>_xlfn.XLOOKUP(ComponentList[[#This Row],[ISO 2768 Accuracy]],'Cost of Production Techniques'!$C$18:$C$21,'Cost of Production Techniques'!$D$18:$D$21,"")</f>
        <v/>
      </c>
      <c r="N20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0" s="15" cm="1">
        <f t="array" ref="O2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8.7200000000000006</v>
      </c>
    </row>
    <row r="21" spans="1:15" x14ac:dyDescent="0.3">
      <c r="A21" s="22">
        <v>15</v>
      </c>
      <c r="B21" s="20" t="s">
        <v>99</v>
      </c>
      <c r="C21" s="23" t="s">
        <v>60</v>
      </c>
      <c r="D21" s="23"/>
      <c r="E21" s="24" t="s">
        <v>181</v>
      </c>
      <c r="F21" s="25">
        <v>7.11</v>
      </c>
      <c r="I21" s="11" t="str">
        <f>_xlfn.XLOOKUP(ComponentList[[#This Row],[Production technique]],'Cost of Production Techniques'!$C$4:$C$13,'Cost of Production Techniques'!$D$4:$D$13,"")</f>
        <v/>
      </c>
      <c r="L21" s="11" t="str">
        <f>_xlfn.XLOOKUP(ComponentList[[#This Row],[ISO 2768 Accuracy]],'Cost of Production Techniques'!$C$18:$C$21,'Cost of Production Techniques'!$D$18:$D$21,"")</f>
        <v/>
      </c>
      <c r="N21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1" s="15" cm="1">
        <f t="array" ref="O2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7.11</v>
      </c>
    </row>
    <row r="22" spans="1:15" x14ac:dyDescent="0.3">
      <c r="A22" s="22">
        <v>16</v>
      </c>
      <c r="B22" s="23" t="s">
        <v>100</v>
      </c>
      <c r="C22" s="23" t="s">
        <v>61</v>
      </c>
      <c r="D22" s="28" t="s">
        <v>174</v>
      </c>
      <c r="E22" s="24" t="s">
        <v>177</v>
      </c>
      <c r="F22" s="25">
        <v>0</v>
      </c>
      <c r="G22" t="s">
        <v>8</v>
      </c>
      <c r="H22" t="s">
        <v>178</v>
      </c>
      <c r="I22" s="11" t="str">
        <f>_xlfn.XLOOKUP(ComponentList[[#This Row],[Production technique]],'Cost of Production Techniques'!$C$4:$C$13,'Cost of Production Techniques'!$D$4:$D$13,"")</f>
        <v>Length to cut [cm]</v>
      </c>
      <c r="J22">
        <v>72.7</v>
      </c>
      <c r="K22" t="s">
        <v>24</v>
      </c>
      <c r="L22" s="11">
        <f>_xlfn.XLOOKUP(ComponentList[[#This Row],[ISO 2768 Accuracy]],'Cost of Production Techniques'!$C$18:$C$21,'Cost of Production Techniques'!$D$18:$D$21,"")</f>
        <v>1</v>
      </c>
      <c r="M22">
        <v>1</v>
      </c>
      <c r="N22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54.54</v>
      </c>
      <c r="O22" s="15" cm="1">
        <f t="array" ref="O2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54.54</v>
      </c>
    </row>
    <row r="23" spans="1:15" x14ac:dyDescent="0.3">
      <c r="A23" s="22">
        <v>17</v>
      </c>
      <c r="B23" s="23" t="s">
        <v>101</v>
      </c>
      <c r="C23" s="23" t="s">
        <v>62</v>
      </c>
      <c r="D23" s="23" t="s">
        <v>160</v>
      </c>
      <c r="E23" s="24" t="s">
        <v>126</v>
      </c>
      <c r="F23" s="25">
        <v>73.3</v>
      </c>
      <c r="I23" s="11" t="str">
        <f>_xlfn.XLOOKUP(ComponentList[[#This Row],[Production technique]],'Cost of Production Techniques'!$C$4:$C$13,'Cost of Production Techniques'!$D$4:$D$13,"")</f>
        <v/>
      </c>
      <c r="L23" s="11" t="str">
        <f>_xlfn.XLOOKUP(ComponentList[[#This Row],[ISO 2768 Accuracy]],'Cost of Production Techniques'!$C$18:$C$21,'Cost of Production Techniques'!$D$18:$D$21,"")</f>
        <v/>
      </c>
      <c r="N23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3" s="15" cm="1">
        <f t="array" ref="O2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73.3</v>
      </c>
    </row>
    <row r="24" spans="1:15" x14ac:dyDescent="0.3">
      <c r="A24" s="22">
        <v>18</v>
      </c>
      <c r="B24" s="23" t="s">
        <v>102</v>
      </c>
      <c r="C24" s="23" t="s">
        <v>63</v>
      </c>
      <c r="D24" s="23" t="s">
        <v>161</v>
      </c>
      <c r="E24" s="24" t="s">
        <v>134</v>
      </c>
      <c r="F24" s="25">
        <v>314.97000000000003</v>
      </c>
      <c r="I24" s="11" t="str">
        <f>_xlfn.XLOOKUP(ComponentList[[#This Row],[Production technique]],'Cost of Production Techniques'!$C$4:$C$13,'Cost of Production Techniques'!$D$4:$D$13,"")</f>
        <v/>
      </c>
      <c r="L24" s="11" t="str">
        <f>_xlfn.XLOOKUP(ComponentList[[#This Row],[ISO 2768 Accuracy]],'Cost of Production Techniques'!$C$18:$C$21,'Cost of Production Techniques'!$D$18:$D$21,"")</f>
        <v/>
      </c>
      <c r="N24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4" s="15" cm="1">
        <f t="array" ref="O2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314.97000000000003</v>
      </c>
    </row>
    <row r="25" spans="1:15" x14ac:dyDescent="0.3">
      <c r="A25" s="22">
        <v>19</v>
      </c>
      <c r="B25" s="23" t="s">
        <v>103</v>
      </c>
      <c r="C25" s="23" t="s">
        <v>64</v>
      </c>
      <c r="D25" s="23" t="s">
        <v>183</v>
      </c>
      <c r="E25" s="24" t="s">
        <v>182</v>
      </c>
      <c r="F25" s="25">
        <v>0</v>
      </c>
      <c r="G25" t="s">
        <v>37</v>
      </c>
      <c r="H25" t="s">
        <v>178</v>
      </c>
      <c r="I25" s="11" t="str">
        <f>_xlfn.XLOOKUP(ComponentList[[#This Row],[Production technique]],'Cost of Production Techniques'!$C$4:$C$13,'Cost of Production Techniques'!$D$4:$D$13,"")</f>
        <v>Removed volume [cm³]</v>
      </c>
      <c r="J25">
        <v>251.45</v>
      </c>
      <c r="K25" t="s">
        <v>24</v>
      </c>
      <c r="L25" s="11">
        <f>_xlfn.XLOOKUP(ComponentList[[#This Row],[ISO 2768 Accuracy]],'Cost of Production Techniques'!$C$18:$C$21,'Cost of Production Techniques'!$D$18:$D$21,"")</f>
        <v>1</v>
      </c>
      <c r="M25">
        <v>1</v>
      </c>
      <c r="N25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90.289999999999992</v>
      </c>
      <c r="O25" s="15" cm="1">
        <f t="array" ref="O2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226.27499999999998</v>
      </c>
    </row>
    <row r="26" spans="1:15" x14ac:dyDescent="0.3">
      <c r="A26" s="22">
        <v>19.100000000000001</v>
      </c>
      <c r="B26" s="23"/>
      <c r="C26" s="23"/>
      <c r="D26" s="23"/>
      <c r="E26" s="24"/>
      <c r="F26" s="29">
        <v>0</v>
      </c>
      <c r="G26" t="s">
        <v>41</v>
      </c>
      <c r="H26" t="s">
        <v>178</v>
      </c>
      <c r="I26" s="11" t="str">
        <f>_xlfn.XLOOKUP(ComponentList[[#This Row],[Production technique]],'Cost of Production Techniques'!$C$4:$C$13,'Cost of Production Techniques'!$D$4:$D$13,"")</f>
        <v>Linear length of hole (depth) [cm]</v>
      </c>
      <c r="J26">
        <v>3.6</v>
      </c>
      <c r="K26" t="s">
        <v>26</v>
      </c>
      <c r="L26" s="11">
        <f>_xlfn.XLOOKUP(ComponentList[[#This Row],[ISO 2768 Accuracy]],'Cost of Production Techniques'!$C$18:$C$21,'Cost of Production Techniques'!$D$18:$D$21,"")</f>
        <v>0.75</v>
      </c>
      <c r="M26">
        <v>1</v>
      </c>
      <c r="N26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30.54</v>
      </c>
      <c r="O26" s="15" cm="1">
        <f t="array" ref="O2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27" spans="1:15" x14ac:dyDescent="0.3">
      <c r="A27" s="22">
        <v>19.2</v>
      </c>
      <c r="B27" s="23"/>
      <c r="C27" s="23"/>
      <c r="D27" s="23"/>
      <c r="E27" s="24"/>
      <c r="F27" s="29">
        <v>0</v>
      </c>
      <c r="G27" t="s">
        <v>40</v>
      </c>
      <c r="H27" t="s">
        <v>178</v>
      </c>
      <c r="I27" s="11" t="str">
        <f>_xlfn.XLOOKUP(ComponentList[[#This Row],[Production technique]],'Cost of Production Techniques'!$C$4:$C$13,'Cost of Production Techniques'!$D$4:$D$13,"")</f>
        <v>Finished surface [cm²]</v>
      </c>
      <c r="J27">
        <v>50.89</v>
      </c>
      <c r="K27" t="s">
        <v>23</v>
      </c>
      <c r="L27" s="11">
        <f>_xlfn.XLOOKUP(ComponentList[[#This Row],[ISO 2768 Accuracy]],'Cost of Production Techniques'!$C$18:$C$21,'Cost of Production Techniques'!$D$18:$D$21,"")</f>
        <v>2</v>
      </c>
      <c r="M27">
        <v>1</v>
      </c>
      <c r="N27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105.44499999999999</v>
      </c>
      <c r="O27" s="15" cm="1">
        <f t="array" ref="O2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28" spans="1:15" x14ac:dyDescent="0.3">
      <c r="A28" s="22">
        <v>20</v>
      </c>
      <c r="B28" s="23" t="s">
        <v>104</v>
      </c>
      <c r="C28" s="23" t="s">
        <v>65</v>
      </c>
      <c r="D28" s="23" t="s">
        <v>162</v>
      </c>
      <c r="E28" s="24" t="s">
        <v>145</v>
      </c>
      <c r="F28" s="25">
        <v>969.68</v>
      </c>
      <c r="I28" s="11" t="str">
        <f>_xlfn.XLOOKUP(ComponentList[[#This Row],[Production technique]],'Cost of Production Techniques'!$C$4:$C$13,'Cost of Production Techniques'!$D$4:$D$13,"")</f>
        <v/>
      </c>
      <c r="L28" s="11" t="str">
        <f>_xlfn.XLOOKUP(ComponentList[[#This Row],[ISO 2768 Accuracy]],'Cost of Production Techniques'!$C$18:$C$21,'Cost of Production Techniques'!$D$18:$D$21,"")</f>
        <v/>
      </c>
      <c r="N28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8" s="15" cm="1">
        <f t="array" ref="O2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969.68</v>
      </c>
    </row>
    <row r="29" spans="1:15" x14ac:dyDescent="0.3">
      <c r="A29" s="22">
        <v>21</v>
      </c>
      <c r="B29" s="20" t="s">
        <v>105</v>
      </c>
      <c r="C29" s="23" t="s">
        <v>66</v>
      </c>
      <c r="D29" s="23" t="s">
        <v>164</v>
      </c>
      <c r="E29" s="24" t="s">
        <v>146</v>
      </c>
      <c r="F29" s="25">
        <v>440.44</v>
      </c>
      <c r="I29" s="11" t="str">
        <f>_xlfn.XLOOKUP(ComponentList[[#This Row],[Production technique]],'Cost of Production Techniques'!$C$4:$C$13,'Cost of Production Techniques'!$D$4:$D$13,"")</f>
        <v/>
      </c>
      <c r="L29" s="11" t="str">
        <f>_xlfn.XLOOKUP(ComponentList[[#This Row],[ISO 2768 Accuracy]],'Cost of Production Techniques'!$C$18:$C$21,'Cost of Production Techniques'!$D$18:$D$21,"")</f>
        <v/>
      </c>
      <c r="N29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29" s="15" cm="1">
        <f t="array" ref="O2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440.44</v>
      </c>
    </row>
    <row r="30" spans="1:15" x14ac:dyDescent="0.3">
      <c r="A30" s="22">
        <v>22</v>
      </c>
      <c r="B30" s="23" t="s">
        <v>106</v>
      </c>
      <c r="C30" s="23" t="s">
        <v>67</v>
      </c>
      <c r="D30" s="23" t="s">
        <v>165</v>
      </c>
      <c r="E30" s="24" t="s">
        <v>147</v>
      </c>
      <c r="F30" s="25">
        <v>21.28</v>
      </c>
      <c r="I30" s="11" t="str">
        <f>_xlfn.XLOOKUP(ComponentList[[#This Row],[Production technique]],'Cost of Production Techniques'!$C$4:$C$13,'Cost of Production Techniques'!$D$4:$D$13,"")</f>
        <v/>
      </c>
      <c r="L30" s="11" t="str">
        <f>_xlfn.XLOOKUP(ComponentList[[#This Row],[ISO 2768 Accuracy]],'Cost of Production Techniques'!$C$18:$C$21,'Cost of Production Techniques'!$D$18:$D$21,"")</f>
        <v/>
      </c>
      <c r="N30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0" s="15" cm="1">
        <f t="array" ref="O3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21.28</v>
      </c>
    </row>
    <row r="31" spans="1:15" x14ac:dyDescent="0.3">
      <c r="A31" s="22">
        <v>23</v>
      </c>
      <c r="B31" s="23" t="s">
        <v>107</v>
      </c>
      <c r="C31" s="23" t="s">
        <v>68</v>
      </c>
      <c r="D31" s="23" t="s">
        <v>166</v>
      </c>
      <c r="E31" s="24" t="s">
        <v>148</v>
      </c>
      <c r="F31" s="25">
        <v>1028.8800000000001</v>
      </c>
      <c r="I31" s="11" t="str">
        <f>_xlfn.XLOOKUP(ComponentList[[#This Row],[Production technique]],'Cost of Production Techniques'!$C$4:$C$13,'Cost of Production Techniques'!$D$4:$D$13,"")</f>
        <v/>
      </c>
      <c r="L31" s="11" t="str">
        <f>_xlfn.XLOOKUP(ComponentList[[#This Row],[ISO 2768 Accuracy]],'Cost of Production Techniques'!$C$18:$C$21,'Cost of Production Techniques'!$D$18:$D$21,"")</f>
        <v/>
      </c>
      <c r="N31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1" s="15" cm="1">
        <f t="array" ref="O3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1028.8800000000001</v>
      </c>
    </row>
    <row r="32" spans="1:15" x14ac:dyDescent="0.3">
      <c r="A32" s="22">
        <v>24</v>
      </c>
      <c r="B32" s="23" t="s">
        <v>108</v>
      </c>
      <c r="C32" s="23" t="s">
        <v>69</v>
      </c>
      <c r="D32" s="23" t="s">
        <v>175</v>
      </c>
      <c r="E32" s="24"/>
      <c r="F32" s="25">
        <v>0</v>
      </c>
      <c r="I32" s="11" t="str">
        <f>_xlfn.XLOOKUP(ComponentList[[#This Row],[Production technique]],'Cost of Production Techniques'!$C$4:$C$13,'Cost of Production Techniques'!$D$4:$D$13,"")</f>
        <v/>
      </c>
      <c r="L32" s="11" t="str">
        <f>_xlfn.XLOOKUP(ComponentList[[#This Row],[ISO 2768 Accuracy]],'Cost of Production Techniques'!$C$18:$C$21,'Cost of Production Techniques'!$D$18:$D$21,"")</f>
        <v/>
      </c>
      <c r="N32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2" s="15" cm="1">
        <f t="array" ref="O3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33" spans="1:15" x14ac:dyDescent="0.3">
      <c r="A33" s="22">
        <v>25</v>
      </c>
      <c r="B33" s="23" t="s">
        <v>109</v>
      </c>
      <c r="C33" s="23" t="s">
        <v>70</v>
      </c>
      <c r="D33" s="23" t="s">
        <v>167</v>
      </c>
      <c r="E33" s="24" t="s">
        <v>149</v>
      </c>
      <c r="F33" s="25">
        <v>276.39999999999998</v>
      </c>
      <c r="I33" s="11" t="str">
        <f>_xlfn.XLOOKUP(ComponentList[[#This Row],[Production technique]],'Cost of Production Techniques'!$C$4:$C$13,'Cost of Production Techniques'!$D$4:$D$13,"")</f>
        <v/>
      </c>
      <c r="L33" s="11" t="str">
        <f>_xlfn.XLOOKUP(ComponentList[[#This Row],[ISO 2768 Accuracy]],'Cost of Production Techniques'!$C$18:$C$21,'Cost of Production Techniques'!$D$18:$D$21,"")</f>
        <v/>
      </c>
      <c r="N33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3" s="15" cm="1">
        <f t="array" ref="O3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276.39999999999998</v>
      </c>
    </row>
    <row r="34" spans="1:15" x14ac:dyDescent="0.3">
      <c r="A34" s="22">
        <v>26</v>
      </c>
      <c r="B34" s="23" t="s">
        <v>110</v>
      </c>
      <c r="C34" s="23" t="s">
        <v>71</v>
      </c>
      <c r="D34" s="23" t="s">
        <v>150</v>
      </c>
      <c r="E34" s="24"/>
      <c r="F34" s="25">
        <v>0</v>
      </c>
      <c r="I34" s="11" t="str">
        <f>_xlfn.XLOOKUP(ComponentList[[#This Row],[Production technique]],'Cost of Production Techniques'!$C$4:$C$13,'Cost of Production Techniques'!$D$4:$D$13,"")</f>
        <v/>
      </c>
      <c r="L34" s="11" t="str">
        <f>_xlfn.XLOOKUP(ComponentList[[#This Row],[ISO 2768 Accuracy]],'Cost of Production Techniques'!$C$18:$C$21,'Cost of Production Techniques'!$D$18:$D$21,"")</f>
        <v/>
      </c>
      <c r="N34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4" s="15" cm="1">
        <f t="array" ref="O3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35" spans="1:15" x14ac:dyDescent="0.3">
      <c r="A35" s="22">
        <v>27</v>
      </c>
      <c r="B35" s="23" t="s">
        <v>111</v>
      </c>
      <c r="C35" s="23" t="s">
        <v>72</v>
      </c>
      <c r="D35" s="23" t="s">
        <v>132</v>
      </c>
      <c r="E35" s="24"/>
      <c r="F35" s="25">
        <v>0</v>
      </c>
      <c r="I35" s="11" t="str">
        <f>_xlfn.XLOOKUP(ComponentList[[#This Row],[Production technique]],'Cost of Production Techniques'!$C$4:$C$13,'Cost of Production Techniques'!$D$4:$D$13,"")</f>
        <v/>
      </c>
      <c r="L35" s="11" t="str">
        <f>_xlfn.XLOOKUP(ComponentList[[#This Row],[ISO 2768 Accuracy]],'Cost of Production Techniques'!$C$18:$C$21,'Cost of Production Techniques'!$D$18:$D$21,"")</f>
        <v/>
      </c>
      <c r="N35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5" s="15" cm="1">
        <f t="array" ref="O3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36" spans="1:15" x14ac:dyDescent="0.3">
      <c r="A36" s="22">
        <v>28</v>
      </c>
      <c r="B36" s="23" t="s">
        <v>112</v>
      </c>
      <c r="C36" s="23" t="s">
        <v>73</v>
      </c>
      <c r="D36" s="23" t="s">
        <v>151</v>
      </c>
      <c r="E36" s="24"/>
      <c r="F36" s="25">
        <v>0</v>
      </c>
      <c r="I36" s="11" t="str">
        <f>_xlfn.XLOOKUP(ComponentList[[#This Row],[Production technique]],'Cost of Production Techniques'!$C$4:$C$13,'Cost of Production Techniques'!$D$4:$D$13,"")</f>
        <v/>
      </c>
      <c r="L36" s="11" t="str">
        <f>_xlfn.XLOOKUP(ComponentList[[#This Row],[ISO 2768 Accuracy]],'Cost of Production Techniques'!$C$18:$C$21,'Cost of Production Techniques'!$D$18:$D$21,"")</f>
        <v/>
      </c>
      <c r="N36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6" s="15" cm="1">
        <f t="array" ref="O3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37" spans="1:15" x14ac:dyDescent="0.3">
      <c r="A37" s="22">
        <v>29</v>
      </c>
      <c r="B37" s="23" t="s">
        <v>113</v>
      </c>
      <c r="C37" s="23" t="s">
        <v>74</v>
      </c>
      <c r="D37" s="23"/>
      <c r="E37" s="24" t="s">
        <v>152</v>
      </c>
      <c r="F37" s="25">
        <v>3.28</v>
      </c>
      <c r="I37" s="11" t="str">
        <f>_xlfn.XLOOKUP(ComponentList[[#This Row],[Production technique]],'Cost of Production Techniques'!$C$4:$C$13,'Cost of Production Techniques'!$D$4:$D$13,"")</f>
        <v/>
      </c>
      <c r="L37" s="11" t="str">
        <f>_xlfn.XLOOKUP(ComponentList[[#This Row],[ISO 2768 Accuracy]],'Cost of Production Techniques'!$C$18:$C$21,'Cost of Production Techniques'!$D$18:$D$21,"")</f>
        <v/>
      </c>
      <c r="N37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7" s="15" cm="1">
        <f t="array" ref="O3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3.28</v>
      </c>
    </row>
    <row r="38" spans="1:15" s="11" customFormat="1" x14ac:dyDescent="0.3">
      <c r="A38" s="22">
        <v>30</v>
      </c>
      <c r="B38" s="23" t="s">
        <v>114</v>
      </c>
      <c r="C38" s="20" t="s">
        <v>75</v>
      </c>
      <c r="D38" s="23" t="s">
        <v>150</v>
      </c>
      <c r="E38" s="24"/>
      <c r="F38" s="25">
        <v>0</v>
      </c>
      <c r="I38" s="11" t="str">
        <f>_xlfn.XLOOKUP(ComponentList[[#This Row],[Production technique]],'Cost of Production Techniques'!$C$4:$C$13,'Cost of Production Techniques'!$D$4:$D$13,"")</f>
        <v/>
      </c>
      <c r="L38" s="11" t="str">
        <f>_xlfn.XLOOKUP(ComponentList[[#This Row],[ISO 2768 Accuracy]],'Cost of Production Techniques'!$C$18:$C$21,'Cost of Production Techniques'!$D$18:$D$21,"")</f>
        <v/>
      </c>
      <c r="N38" s="18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8" s="19" cm="1">
        <f t="array" ref="O3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39" spans="1:15" x14ac:dyDescent="0.3">
      <c r="A39" s="22">
        <v>31</v>
      </c>
      <c r="B39" s="23" t="s">
        <v>115</v>
      </c>
      <c r="C39" s="23" t="s">
        <v>76</v>
      </c>
      <c r="D39" s="23" t="s">
        <v>132</v>
      </c>
      <c r="E39" s="21"/>
      <c r="F39" s="25">
        <v>0</v>
      </c>
      <c r="I39" s="11" t="str">
        <f>_xlfn.XLOOKUP(ComponentList[[#This Row],[Production technique]],'Cost of Production Techniques'!$C$4:$C$13,'Cost of Production Techniques'!$D$4:$D$13,"")</f>
        <v/>
      </c>
      <c r="L39" s="11" t="str">
        <f>_xlfn.XLOOKUP(ComponentList[[#This Row],[ISO 2768 Accuracy]],'Cost of Production Techniques'!$C$18:$C$21,'Cost of Production Techniques'!$D$18:$D$21,"")</f>
        <v/>
      </c>
      <c r="N39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39" s="15" cm="1">
        <f t="array" ref="O3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40" spans="1:15" x14ac:dyDescent="0.3">
      <c r="A40" s="22">
        <v>32</v>
      </c>
      <c r="B40" s="23" t="s">
        <v>116</v>
      </c>
      <c r="C40" s="23" t="s">
        <v>77</v>
      </c>
      <c r="D40" s="23" t="s">
        <v>168</v>
      </c>
      <c r="E40" s="24" t="s">
        <v>153</v>
      </c>
      <c r="F40" s="25">
        <v>33.83</v>
      </c>
      <c r="I40" s="11" t="str">
        <f>_xlfn.XLOOKUP(ComponentList[[#This Row],[Production technique]],'Cost of Production Techniques'!$C$4:$C$13,'Cost of Production Techniques'!$D$4:$D$13,"")</f>
        <v/>
      </c>
      <c r="L40" s="11" t="str">
        <f>_xlfn.XLOOKUP(ComponentList[[#This Row],[ISO 2768 Accuracy]],'Cost of Production Techniques'!$C$18:$C$21,'Cost of Production Techniques'!$D$18:$D$21,"")</f>
        <v/>
      </c>
      <c r="N40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40" s="15" cm="1">
        <f t="array" ref="O4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33.83</v>
      </c>
    </row>
    <row r="41" spans="1:15" x14ac:dyDescent="0.3">
      <c r="A41" s="22">
        <v>33</v>
      </c>
      <c r="B41" s="23" t="s">
        <v>117</v>
      </c>
      <c r="C41" s="23" t="s">
        <v>78</v>
      </c>
      <c r="D41" s="23"/>
      <c r="E41" s="24" t="s">
        <v>125</v>
      </c>
      <c r="F41" s="25">
        <v>121.93</v>
      </c>
      <c r="I41" s="11" t="str">
        <f>_xlfn.XLOOKUP(ComponentList[[#This Row],[Production technique]],'Cost of Production Techniques'!$C$4:$C$13,'Cost of Production Techniques'!$D$4:$D$13,"")</f>
        <v/>
      </c>
      <c r="L41" s="11" t="str">
        <f>_xlfn.XLOOKUP(ComponentList[[#This Row],[ISO 2768 Accuracy]],'Cost of Production Techniques'!$C$18:$C$21,'Cost of Production Techniques'!$D$18:$D$21,"")</f>
        <v/>
      </c>
      <c r="N41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41" s="15" cm="1">
        <f t="array" ref="O4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121.93</v>
      </c>
    </row>
    <row r="42" spans="1:15" x14ac:dyDescent="0.3">
      <c r="A42" s="22">
        <v>34</v>
      </c>
      <c r="B42" s="23" t="s">
        <v>118</v>
      </c>
      <c r="C42" s="23" t="s">
        <v>79</v>
      </c>
      <c r="D42" s="23" t="s">
        <v>173</v>
      </c>
      <c r="E42" s="24" t="s">
        <v>172</v>
      </c>
      <c r="F42" s="25">
        <v>286.37</v>
      </c>
      <c r="G42" t="s">
        <v>9</v>
      </c>
      <c r="H42" t="s">
        <v>178</v>
      </c>
      <c r="I42" s="11" t="str">
        <f>_xlfn.XLOOKUP(ComponentList[[#This Row],[Production technique]],'Cost of Production Techniques'!$C$4:$C$13,'Cost of Production Techniques'!$D$4:$D$13,"")</f>
        <v>Finished surface [cm²]</v>
      </c>
      <c r="J42">
        <v>63.62</v>
      </c>
      <c r="K42" t="s">
        <v>23</v>
      </c>
      <c r="L42" s="11">
        <f>_xlfn.XLOOKUP(ComponentList[[#This Row],[ISO 2768 Accuracy]],'Cost of Production Techniques'!$C$18:$C$21,'Cost of Production Techniques'!$D$18:$D$21,"")</f>
        <v>2</v>
      </c>
      <c r="M42">
        <v>1</v>
      </c>
      <c r="N42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118.172</v>
      </c>
      <c r="O42" s="15" cm="1">
        <f t="array" ref="O4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647.827</v>
      </c>
    </row>
    <row r="43" spans="1:15" x14ac:dyDescent="0.3">
      <c r="A43" s="22">
        <v>34.1</v>
      </c>
      <c r="B43" s="23"/>
      <c r="C43" s="23"/>
      <c r="D43" s="23"/>
      <c r="E43" s="24"/>
      <c r="F43" s="29">
        <v>0</v>
      </c>
      <c r="G43" t="s">
        <v>40</v>
      </c>
      <c r="H43" t="s">
        <v>178</v>
      </c>
      <c r="I43" s="11" t="str">
        <f>_xlfn.XLOOKUP(ComponentList[[#This Row],[Production technique]],'Cost of Production Techniques'!$C$4:$C$13,'Cost of Production Techniques'!$D$4:$D$13,"")</f>
        <v>Finished surface [cm²]</v>
      </c>
      <c r="J43">
        <v>326.57</v>
      </c>
      <c r="K43" t="s">
        <v>23</v>
      </c>
      <c r="L43" s="11">
        <f>_xlfn.XLOOKUP(ComponentList[[#This Row],[ISO 2768 Accuracy]],'Cost of Production Techniques'!$C$18:$C$21,'Cost of Production Techniques'!$D$18:$D$21,"")</f>
        <v>2</v>
      </c>
      <c r="M43">
        <v>1</v>
      </c>
      <c r="N43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243.285</v>
      </c>
      <c r="O43" s="15" cm="1">
        <f t="array" ref="O4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44" spans="1:15" x14ac:dyDescent="0.3">
      <c r="A44" s="22">
        <v>35</v>
      </c>
      <c r="B44" s="23" t="s">
        <v>119</v>
      </c>
      <c r="C44" s="23" t="s">
        <v>80</v>
      </c>
      <c r="D44" s="23" t="s">
        <v>188</v>
      </c>
      <c r="E44" s="24"/>
      <c r="F44" s="25">
        <v>0</v>
      </c>
      <c r="G44" t="s">
        <v>9</v>
      </c>
      <c r="H44" t="s">
        <v>178</v>
      </c>
      <c r="I44" s="11" t="str">
        <f>_xlfn.XLOOKUP(ComponentList[[#This Row],[Production technique]],'Cost of Production Techniques'!$C$4:$C$13,'Cost of Production Techniques'!$D$4:$D$13,"")</f>
        <v>Finished surface [cm²]</v>
      </c>
      <c r="J44">
        <v>19.38</v>
      </c>
      <c r="K44" t="s">
        <v>23</v>
      </c>
      <c r="L44" s="11">
        <f>_xlfn.XLOOKUP(ComponentList[[#This Row],[ISO 2768 Accuracy]],'Cost of Production Techniques'!$C$18:$C$21,'Cost of Production Techniques'!$D$18:$D$21,"")</f>
        <v>2</v>
      </c>
      <c r="M44">
        <v>2</v>
      </c>
      <c r="N44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111.628</v>
      </c>
      <c r="O44" s="15" cm="1">
        <f t="array" ref="O4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487.77500000000003</v>
      </c>
    </row>
    <row r="45" spans="1:15" x14ac:dyDescent="0.3">
      <c r="A45" s="22">
        <v>35.1</v>
      </c>
      <c r="B45" s="23"/>
      <c r="C45" s="23"/>
      <c r="D45" s="23"/>
      <c r="E45" s="24"/>
      <c r="F45" s="29">
        <v>0</v>
      </c>
      <c r="G45" t="s">
        <v>40</v>
      </c>
      <c r="H45" t="s">
        <v>178</v>
      </c>
      <c r="I45" s="11" t="str">
        <f>_xlfn.XLOOKUP(ComponentList[[#This Row],[Production technique]],'Cost of Production Techniques'!$C$4:$C$13,'Cost of Production Techniques'!$D$4:$D$13,"")</f>
        <v>Finished surface [cm²]</v>
      </c>
      <c r="J45">
        <v>145.82</v>
      </c>
      <c r="K45" t="s">
        <v>23</v>
      </c>
      <c r="L45" s="11">
        <f>_xlfn.XLOOKUP(ComponentList[[#This Row],[ISO 2768 Accuracy]],'Cost of Production Techniques'!$C$18:$C$21,'Cost of Production Techniques'!$D$18:$D$21,"")</f>
        <v>2</v>
      </c>
      <c r="M45">
        <v>2</v>
      </c>
      <c r="N45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172.91</v>
      </c>
      <c r="O45" s="15" cm="1">
        <f t="array" ref="O4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46" spans="1:15" x14ac:dyDescent="0.3">
      <c r="A46" s="22">
        <v>35.200000000000003</v>
      </c>
      <c r="B46" s="23"/>
      <c r="C46" s="23"/>
      <c r="D46" s="23"/>
      <c r="E46" s="24"/>
      <c r="F46" s="29">
        <v>0</v>
      </c>
      <c r="G46" t="s">
        <v>41</v>
      </c>
      <c r="H46" t="s">
        <v>178</v>
      </c>
      <c r="I46" s="11" t="str">
        <f>_xlfn.XLOOKUP(ComponentList[[#This Row],[Production technique]],'Cost of Production Techniques'!$C$4:$C$13,'Cost of Production Techniques'!$D$4:$D$13,"")</f>
        <v>Linear length of hole (depth) [cm]</v>
      </c>
      <c r="J46">
        <v>4</v>
      </c>
      <c r="K46" t="s">
        <v>26</v>
      </c>
      <c r="L46" s="11">
        <f>_xlfn.XLOOKUP(ComponentList[[#This Row],[ISO 2768 Accuracy]],'Cost of Production Techniques'!$C$18:$C$21,'Cost of Production Techniques'!$D$18:$D$21,"")</f>
        <v>0.75</v>
      </c>
      <c r="M46">
        <v>1</v>
      </c>
      <c r="N46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30.599999999999998</v>
      </c>
      <c r="O46" s="15" cm="1">
        <f t="array" ref="O4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47" spans="1:15" x14ac:dyDescent="0.3">
      <c r="A47" s="22">
        <v>35.299999999999997</v>
      </c>
      <c r="B47" s="23"/>
      <c r="C47" s="23"/>
      <c r="D47" s="23"/>
      <c r="E47" s="24"/>
      <c r="F47" s="29">
        <v>0</v>
      </c>
      <c r="G47" t="s">
        <v>40</v>
      </c>
      <c r="H47" t="s">
        <v>178</v>
      </c>
      <c r="I47" s="11" t="str">
        <f>_xlfn.XLOOKUP(ComponentList[[#This Row],[Production technique]],'Cost of Production Techniques'!$C$4:$C$13,'Cost of Production Techniques'!$D$4:$D$13,"")</f>
        <v>Finished surface [cm²]</v>
      </c>
      <c r="J47">
        <v>25.13</v>
      </c>
      <c r="K47" t="s">
        <v>23</v>
      </c>
      <c r="L47" s="11">
        <f>_xlfn.XLOOKUP(ComponentList[[#This Row],[ISO 2768 Accuracy]],'Cost of Production Techniques'!$C$18:$C$21,'Cost of Production Techniques'!$D$18:$D$21,"")</f>
        <v>2</v>
      </c>
      <c r="M47">
        <v>1</v>
      </c>
      <c r="N47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92.564999999999998</v>
      </c>
      <c r="O47" s="15" cm="1">
        <f t="array" ref="O4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48" spans="1:15" x14ac:dyDescent="0.3">
      <c r="A48" s="22">
        <v>35.299999999999997</v>
      </c>
      <c r="B48" s="23"/>
      <c r="C48" s="23"/>
      <c r="D48" s="23"/>
      <c r="E48" s="24"/>
      <c r="F48" s="29">
        <v>0</v>
      </c>
      <c r="G48" t="s">
        <v>38</v>
      </c>
      <c r="H48" t="s">
        <v>178</v>
      </c>
      <c r="I48" s="11" t="str">
        <f>_xlfn.XLOOKUP(ComponentList[[#This Row],[Production technique]],'Cost of Production Techniques'!$C$4:$C$13,'Cost of Production Techniques'!$D$4:$D$13,"")</f>
        <v>Finished surface [cm²]</v>
      </c>
      <c r="J48">
        <v>0.18</v>
      </c>
      <c r="K48" t="s">
        <v>23</v>
      </c>
      <c r="L48" s="11">
        <f>_xlfn.XLOOKUP(ComponentList[[#This Row],[ISO 2768 Accuracy]],'Cost of Production Techniques'!$C$18:$C$21,'Cost of Production Techniques'!$D$18:$D$21,"")</f>
        <v>2</v>
      </c>
      <c r="M48">
        <v>1</v>
      </c>
      <c r="N48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80.072000000000003</v>
      </c>
      <c r="O48" s="15" cm="1">
        <f t="array" ref="O4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49" spans="1:15" x14ac:dyDescent="0.3">
      <c r="A49" s="22">
        <v>36</v>
      </c>
      <c r="B49" s="23" t="s">
        <v>120</v>
      </c>
      <c r="C49" s="23" t="s">
        <v>81</v>
      </c>
      <c r="D49" s="23" t="s">
        <v>188</v>
      </c>
      <c r="E49" s="24"/>
      <c r="F49" s="25">
        <v>0</v>
      </c>
      <c r="G49" t="s">
        <v>9</v>
      </c>
      <c r="H49" t="s">
        <v>178</v>
      </c>
      <c r="I49" s="11" t="str">
        <f>_xlfn.XLOOKUP(ComponentList[[#This Row],[Production technique]],'Cost of Production Techniques'!$C$4:$C$13,'Cost of Production Techniques'!$D$4:$D$13,"")</f>
        <v>Finished surface [cm²]</v>
      </c>
      <c r="J49">
        <v>23.95</v>
      </c>
      <c r="K49" t="s">
        <v>23</v>
      </c>
      <c r="L49" s="11">
        <f>_xlfn.XLOOKUP(ComponentList[[#This Row],[ISO 2768 Accuracy]],'Cost of Production Techniques'!$C$18:$C$21,'Cost of Production Techniques'!$D$18:$D$21,"")</f>
        <v>2</v>
      </c>
      <c r="M49">
        <v>2</v>
      </c>
      <c r="N49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114.37</v>
      </c>
      <c r="O49" s="15" cm="1">
        <f t="array" ref="O4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310.34500000000003</v>
      </c>
    </row>
    <row r="50" spans="1:15" x14ac:dyDescent="0.3">
      <c r="A50" s="22">
        <v>36.1</v>
      </c>
      <c r="B50" s="23"/>
      <c r="C50" s="23"/>
      <c r="D50" s="23"/>
      <c r="E50" s="24"/>
      <c r="F50" s="29">
        <v>0</v>
      </c>
      <c r="G50" t="s">
        <v>40</v>
      </c>
      <c r="H50" t="s">
        <v>178</v>
      </c>
      <c r="I50" s="11" t="str">
        <f>_xlfn.XLOOKUP(ComponentList[[#This Row],[Production technique]],'Cost of Production Techniques'!$C$4:$C$13,'Cost of Production Techniques'!$D$4:$D$13,"")</f>
        <v>Finished surface [cm²]</v>
      </c>
      <c r="J50">
        <v>191.95</v>
      </c>
      <c r="K50" t="s">
        <v>23</v>
      </c>
      <c r="L50" s="11">
        <f>_xlfn.XLOOKUP(ComponentList[[#This Row],[ISO 2768 Accuracy]],'Cost of Production Techniques'!$C$18:$C$21,'Cost of Production Techniques'!$D$18:$D$21,"")</f>
        <v>2</v>
      </c>
      <c r="M50">
        <v>2</v>
      </c>
      <c r="N50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195.97499999999999</v>
      </c>
      <c r="O50" s="15" cm="1">
        <f t="array" ref="O5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1" spans="1:15" x14ac:dyDescent="0.3">
      <c r="A51" s="22">
        <v>37</v>
      </c>
      <c r="B51" s="23" t="s">
        <v>121</v>
      </c>
      <c r="C51" s="23" t="s">
        <v>82</v>
      </c>
      <c r="D51" s="23" t="s">
        <v>186</v>
      </c>
      <c r="E51" s="24" t="s">
        <v>127</v>
      </c>
      <c r="F51" s="25">
        <v>23.2</v>
      </c>
      <c r="I51" s="11" t="str">
        <f>_xlfn.XLOOKUP(ComponentList[[#This Row],[Production technique]],'Cost of Production Techniques'!$C$4:$C$13,'Cost of Production Techniques'!$D$4:$D$13,"")</f>
        <v/>
      </c>
      <c r="L51" s="11" t="str">
        <f>_xlfn.XLOOKUP(ComponentList[[#This Row],[ISO 2768 Accuracy]],'Cost of Production Techniques'!$C$18:$C$21,'Cost of Production Techniques'!$D$18:$D$21,"")</f>
        <v/>
      </c>
      <c r="N51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51" s="15" cm="1">
        <f t="array" ref="O5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907.99299999999994</v>
      </c>
    </row>
    <row r="52" spans="1:15" x14ac:dyDescent="0.3">
      <c r="A52" s="22">
        <v>37.1</v>
      </c>
      <c r="B52" s="23"/>
      <c r="C52" s="23"/>
      <c r="D52" s="23" t="s">
        <v>184</v>
      </c>
      <c r="E52" s="21" t="s">
        <v>187</v>
      </c>
      <c r="F52" s="29">
        <v>0</v>
      </c>
      <c r="G52" t="s">
        <v>9</v>
      </c>
      <c r="H52" t="s">
        <v>178</v>
      </c>
      <c r="I52" s="11" t="str">
        <f>_xlfn.XLOOKUP(ComponentList[[#This Row],[Production technique]],'Cost of Production Techniques'!$C$4:$C$13,'Cost of Production Techniques'!$D$4:$D$13,"")</f>
        <v>Finished surface [cm²]</v>
      </c>
      <c r="J52">
        <v>890.64</v>
      </c>
      <c r="K52" t="s">
        <v>24</v>
      </c>
      <c r="L52" s="11">
        <f>_xlfn.XLOOKUP(ComponentList[[#This Row],[ISO 2768 Accuracy]],'Cost of Production Techniques'!$C$18:$C$21,'Cost of Production Techniques'!$D$18:$D$21,"")</f>
        <v>1</v>
      </c>
      <c r="M52">
        <v>2</v>
      </c>
      <c r="N52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317.19200000000001</v>
      </c>
      <c r="O52" s="15" cm="1">
        <f t="array" ref="O52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3" spans="1:15" x14ac:dyDescent="0.3">
      <c r="A53" s="22">
        <v>37.200000000000003</v>
      </c>
      <c r="B53" s="23"/>
      <c r="C53" s="23"/>
      <c r="D53" s="23" t="s">
        <v>185</v>
      </c>
      <c r="E53" s="21" t="s">
        <v>187</v>
      </c>
      <c r="F53" s="29">
        <v>0</v>
      </c>
      <c r="G53" t="s">
        <v>9</v>
      </c>
      <c r="H53" t="s">
        <v>178</v>
      </c>
      <c r="I53" s="11" t="str">
        <f>_xlfn.XLOOKUP(ComponentList[[#This Row],[Production technique]],'Cost of Production Techniques'!$C$4:$C$13,'Cost of Production Techniques'!$D$4:$D$13,"")</f>
        <v>Finished surface [cm²]</v>
      </c>
      <c r="J53">
        <v>872.97</v>
      </c>
      <c r="K53" t="s">
        <v>24</v>
      </c>
      <c r="L53" s="11">
        <f>_xlfn.XLOOKUP(ComponentList[[#This Row],[ISO 2768 Accuracy]],'Cost of Production Techniques'!$C$18:$C$21,'Cost of Production Techniques'!$D$18:$D$21,"")</f>
        <v>1</v>
      </c>
      <c r="M53">
        <v>2</v>
      </c>
      <c r="N53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311.89100000000002</v>
      </c>
      <c r="O53" s="15" cm="1">
        <f t="array" ref="O53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4" spans="1:15" x14ac:dyDescent="0.3">
      <c r="A54" s="22">
        <v>37.299999999999997</v>
      </c>
      <c r="B54" s="23"/>
      <c r="C54" s="23"/>
      <c r="D54" s="23" t="s">
        <v>184</v>
      </c>
      <c r="E54" s="34"/>
      <c r="F54" s="29">
        <v>0</v>
      </c>
      <c r="G54" t="s">
        <v>41</v>
      </c>
      <c r="H54" t="s">
        <v>178</v>
      </c>
      <c r="I54" s="11" t="str">
        <f>_xlfn.XLOOKUP(ComponentList[[#This Row],[Production technique]],'Cost of Production Techniques'!$C$4:$C$13,'Cost of Production Techniques'!$D$4:$D$13,"")</f>
        <v>Linear length of hole (depth) [cm]</v>
      </c>
      <c r="J54">
        <v>2</v>
      </c>
      <c r="K54" t="s">
        <v>26</v>
      </c>
      <c r="L54" s="11">
        <f>_xlfn.XLOOKUP(ComponentList[[#This Row],[ISO 2768 Accuracy]],'Cost of Production Techniques'!$C$18:$C$21,'Cost of Production Techniques'!$D$18:$D$21,"")</f>
        <v>0.75</v>
      </c>
      <c r="M54">
        <v>1</v>
      </c>
      <c r="N54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30.299999999999997</v>
      </c>
      <c r="O54" s="15" cm="1">
        <f t="array" ref="O54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5" spans="1:15" x14ac:dyDescent="0.3">
      <c r="A55" s="22">
        <v>37.4</v>
      </c>
      <c r="B55" s="23"/>
      <c r="C55" s="23"/>
      <c r="D55" s="23" t="s">
        <v>184</v>
      </c>
      <c r="E55" s="24"/>
      <c r="F55" s="29">
        <v>0</v>
      </c>
      <c r="G55" t="s">
        <v>40</v>
      </c>
      <c r="H55" t="s">
        <v>178</v>
      </c>
      <c r="I55" s="11" t="str">
        <f>_xlfn.XLOOKUP(ComponentList[[#This Row],[Production technique]],'Cost of Production Techniques'!$C$4:$C$13,'Cost of Production Techniques'!$D$4:$D$13,"")</f>
        <v>Finished surface [cm²]</v>
      </c>
      <c r="J55">
        <v>18.850000000000001</v>
      </c>
      <c r="K55" t="s">
        <v>23</v>
      </c>
      <c r="L55" s="11">
        <f>_xlfn.XLOOKUP(ComponentList[[#This Row],[ISO 2768 Accuracy]],'Cost of Production Techniques'!$C$18:$C$21,'Cost of Production Techniques'!$D$18:$D$21,"")</f>
        <v>2</v>
      </c>
      <c r="M55">
        <v>1</v>
      </c>
      <c r="N55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89.424999999999997</v>
      </c>
      <c r="O55" s="15" cm="1">
        <f t="array" ref="O55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6" spans="1:15" x14ac:dyDescent="0.3">
      <c r="A56" s="22">
        <v>37.5</v>
      </c>
      <c r="B56" s="23"/>
      <c r="C56" s="23"/>
      <c r="D56" s="23" t="s">
        <v>185</v>
      </c>
      <c r="E56" s="24"/>
      <c r="F56" s="29">
        <v>0</v>
      </c>
      <c r="G56" t="s">
        <v>41</v>
      </c>
      <c r="H56" t="s">
        <v>178</v>
      </c>
      <c r="I56" s="11" t="str">
        <f>_xlfn.XLOOKUP(ComponentList[[#This Row],[Production technique]],'Cost of Production Techniques'!$C$4:$C$13,'Cost of Production Techniques'!$D$4:$D$13,"")</f>
        <v>Linear length of hole (depth) [cm]</v>
      </c>
      <c r="J56">
        <v>3.6</v>
      </c>
      <c r="K56" t="s">
        <v>26</v>
      </c>
      <c r="L56" s="11">
        <f>_xlfn.XLOOKUP(ComponentList[[#This Row],[ISO 2768 Accuracy]],'Cost of Production Techniques'!$C$18:$C$21,'Cost of Production Techniques'!$D$18:$D$21,"")</f>
        <v>0.75</v>
      </c>
      <c r="M56">
        <v>1</v>
      </c>
      <c r="N56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30.54</v>
      </c>
      <c r="O56" s="15" cm="1">
        <f t="array" ref="O56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7" spans="1:15" x14ac:dyDescent="0.3">
      <c r="A57" s="22">
        <v>37.6</v>
      </c>
      <c r="B57" s="23"/>
      <c r="C57" s="23"/>
      <c r="D57" s="23" t="s">
        <v>185</v>
      </c>
      <c r="E57" s="24"/>
      <c r="F57" s="29">
        <v>0</v>
      </c>
      <c r="G57" t="s">
        <v>40</v>
      </c>
      <c r="H57" t="s">
        <v>178</v>
      </c>
      <c r="I57" s="11" t="str">
        <f>_xlfn.XLOOKUP(ComponentList[[#This Row],[Production technique]],'Cost of Production Techniques'!$C$4:$C$13,'Cost of Production Techniques'!$D$4:$D$13,"")</f>
        <v>Finished surface [cm²]</v>
      </c>
      <c r="J57">
        <v>50.89</v>
      </c>
      <c r="K57" t="s">
        <v>23</v>
      </c>
      <c r="L57" s="11">
        <f>_xlfn.XLOOKUP(ComponentList[[#This Row],[ISO 2768 Accuracy]],'Cost of Production Techniques'!$C$18:$C$21,'Cost of Production Techniques'!$D$18:$D$21,"")</f>
        <v>2</v>
      </c>
      <c r="M57">
        <v>1</v>
      </c>
      <c r="N57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105.44499999999999</v>
      </c>
      <c r="O57" s="15" cm="1">
        <f t="array" ref="O57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0</v>
      </c>
    </row>
    <row r="58" spans="1:15" x14ac:dyDescent="0.3">
      <c r="A58" s="22">
        <v>38</v>
      </c>
      <c r="B58" s="23" t="s">
        <v>122</v>
      </c>
      <c r="C58" s="23" t="s">
        <v>83</v>
      </c>
      <c r="D58" s="23" t="s">
        <v>163</v>
      </c>
      <c r="E58" s="24" t="s">
        <v>131</v>
      </c>
      <c r="F58" s="25">
        <v>192.06</v>
      </c>
      <c r="I58" s="11" t="str">
        <f>_xlfn.XLOOKUP(ComponentList[[#This Row],[Production technique]],'Cost of Production Techniques'!$C$4:$C$13,'Cost of Production Techniques'!$D$4:$D$13,"")</f>
        <v/>
      </c>
      <c r="L58" s="11" t="str">
        <f>_xlfn.XLOOKUP(ComponentList[[#This Row],[ISO 2768 Accuracy]],'Cost of Production Techniques'!$C$18:$C$21,'Cost of Production Techniques'!$D$18:$D$21,"")</f>
        <v/>
      </c>
      <c r="N58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58" s="15" cm="1">
        <f t="array" ref="O58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192.06</v>
      </c>
    </row>
    <row r="59" spans="1:15" x14ac:dyDescent="0.3">
      <c r="A59" s="22">
        <v>39</v>
      </c>
      <c r="B59" s="23" t="s">
        <v>123</v>
      </c>
      <c r="C59" s="23" t="s">
        <v>84</v>
      </c>
      <c r="D59" s="23" t="s">
        <v>169</v>
      </c>
      <c r="E59" s="24" t="s">
        <v>154</v>
      </c>
      <c r="F59" s="25">
        <v>161.91</v>
      </c>
      <c r="I59" s="11" t="str">
        <f>_xlfn.XLOOKUP(ComponentList[[#This Row],[Production technique]],'Cost of Production Techniques'!$C$4:$C$13,'Cost of Production Techniques'!$D$4:$D$13,"")</f>
        <v/>
      </c>
      <c r="L59" s="11" t="str">
        <f>_xlfn.XLOOKUP(ComponentList[[#This Row],[ISO 2768 Accuracy]],'Cost of Production Techniques'!$C$18:$C$21,'Cost of Production Techniques'!$D$18:$D$21,"")</f>
        <v/>
      </c>
      <c r="N59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59" s="15" cm="1">
        <f t="array" ref="O59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161.91</v>
      </c>
    </row>
    <row r="60" spans="1:15" x14ac:dyDescent="0.3">
      <c r="A60" s="22">
        <v>40</v>
      </c>
      <c r="B60" s="23" t="s">
        <v>124</v>
      </c>
      <c r="C60" s="23" t="s">
        <v>85</v>
      </c>
      <c r="D60" s="23" t="s">
        <v>170</v>
      </c>
      <c r="E60" s="24" t="s">
        <v>128</v>
      </c>
      <c r="F60" s="25">
        <v>572.24</v>
      </c>
      <c r="I60" s="11" t="str">
        <f>_xlfn.XLOOKUP(ComponentList[[#This Row],[Production technique]],'Cost of Production Techniques'!$C$4:$C$13,'Cost of Production Techniques'!$D$4:$D$13,"")</f>
        <v/>
      </c>
      <c r="L60" s="11" t="str">
        <f>_xlfn.XLOOKUP(ComponentList[[#This Row],[ISO 2768 Accuracy]],'Cost of Production Techniques'!$C$18:$C$21,'Cost of Production Techniques'!$D$18:$D$21,"")</f>
        <v/>
      </c>
      <c r="N60" s="16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O60" s="15" cm="1">
        <f t="array" ref="O6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572.24</v>
      </c>
    </row>
    <row r="61" spans="1:15" x14ac:dyDescent="0.3">
      <c r="A61" s="23" t="s">
        <v>36</v>
      </c>
      <c r="B61" s="23"/>
      <c r="C61" s="23"/>
      <c r="D61" s="23"/>
      <c r="E61" s="23"/>
      <c r="F61" s="27">
        <f>SUBTOTAL(109,ComponentList[Base cost])</f>
        <v>10997.510000000002</v>
      </c>
      <c r="N61" s="17">
        <f>SUBTOTAL(109,ComponentList[Manufacturing cost])</f>
        <v>2573.6930000000002</v>
      </c>
      <c r="O61" s="15">
        <f>SUBTOTAL(109,ComponentList[Total cost])</f>
        <v>13571.203</v>
      </c>
    </row>
  </sheetData>
  <mergeCells count="3">
    <mergeCell ref="A1:N1"/>
    <mergeCell ref="A2:F2"/>
    <mergeCell ref="G2:O2"/>
  </mergeCells>
  <conditionalFormatting sqref="A4:O5 A6:K11 M6:O38 L6:L60 B12:H12 J12:K12 A12:A60 B13 D13:K13 B14:F15 H14:K15 G16:I16 K16 B16:E17 G17:K17 B18:K20 C21:K21 B22:K28 C29:K29 B30:K37 B38 D38:K38">
    <cfRule type="expression" dxfId="10" priority="3">
      <formula>ISODD(ROUNDDOWN($A4,0))</formula>
    </cfRule>
  </conditionalFormatting>
  <conditionalFormatting sqref="F16">
    <cfRule type="expression" dxfId="9" priority="7">
      <formula>ISODD(ROUNDDOWN($A16,0))</formula>
    </cfRule>
  </conditionalFormatting>
  <conditionalFormatting sqref="G14 J15 F16">
    <cfRule type="expression" dxfId="8" priority="5">
      <formula>ISODD(ROUNDDOWN($A15,0))</formula>
    </cfRule>
  </conditionalFormatting>
  <hyperlinks>
    <hyperlink ref="E4" r:id="rId1" xr:uid="{3B0DD595-8EAA-4EB5-A7C9-48FBCA25BABB}"/>
    <hyperlink ref="E5" r:id="rId2" xr:uid="{CC17CE03-EB80-4273-98A3-1CC4C53C7DE6}"/>
    <hyperlink ref="E10" r:id="rId3" location="overview" xr:uid="{DDFBE5EE-7255-4810-8E87-6884F4F1F8AC}"/>
    <hyperlink ref="E41" r:id="rId4" display="https://www.maedler.de/product/1643/344/2103/keilwellen-aehnlich-din-iso-14-stahl-c45-laenge-3000-mm?result=64847600" xr:uid="{DB7AA6C6-FCB0-46AB-A6C7-B49612A402D2}"/>
    <hyperlink ref="D10" r:id="rId5" location=":~:text=at%201.855.752.9393-,CAN$4%2C912.73/ea,investment%20in%20your%20company's%20future." display="https://www.radwell.co.uk/Buy/SIEMENS/SIEMENS/1FG1501-1RE03-2FA1-Z?redirect=true#:~:text=at%201.855.752.9393-,CAN$4%2C912.73/ea,investment%20in%20your%20company's%20future." xr:uid="{489476AC-BA6A-4C49-8B30-60C478A9B537}"/>
    <hyperlink ref="E60" r:id="rId6" xr:uid="{4543FEEA-1ADA-4297-9106-46D20CC6C5C6}"/>
    <hyperlink ref="E51" r:id="rId7" xr:uid="{B8E17F53-AD6E-4DAA-B009-ED6A80FF904E}"/>
    <hyperlink ref="E58" r:id="rId8" xr:uid="{3D4547DD-804D-4D0C-8B11-C253CEA7495F}"/>
    <hyperlink ref="E23" r:id="rId9" xr:uid="{A2DC5CBD-0898-485B-800F-4A8D9BF82D35}"/>
    <hyperlink ref="E24" r:id="rId10" display="https://www.conrad.be/nl/p/blickle-dk-luh-3-plaatstalen-draaikrans-1-stuk-s-3051259.html?experience=b2c&amp;cq_src=google_ads&amp;cq_cmp=21348122838&amp;cq_term=&amp;cq_plac=&amp;cq_net=x&amp;cq_plt=gp&amp;utm_source=google&amp;utm_medium=cpc&amp;utm_campaign=BE+-+PMAX+-+Nonbrand+-+Zero+traffic&amp;utm_id=21348122838&amp;gad_source=1&amp;gad_campaignid=21354377450&amp;gbraid=0AAAAAD8JkRpdSX6NUwdvjiXIKrmmzGx0l&amp;gclid=Cj0KCQjw4a3OBhCHARIsAChaqJOoMSXWckYmesppYoN_yxypOULBtDMIQ5yYE4erG9vcPXxPZhu6r6UaArbmEALw_wcB&amp;refresh=true" xr:uid="{70D86374-DF3C-4B73-A9BC-863B73E5E356}"/>
    <hyperlink ref="E14" r:id="rId11" xr:uid="{DF0D8818-1227-4583-B261-33C0F8216EE2}"/>
    <hyperlink ref="D6" r:id="rId12" display="https://www.cnc-shopping.com/en/6sl3040-1la01-0aa0-siemens-sinamics-s120-cu310-2-pn-control-unit.html" xr:uid="{8008DEAA-7255-400A-ACD3-3ACA92398D3A}"/>
    <hyperlink ref="E6" r:id="rId13" xr:uid="{05EDDBE1-A047-43B7-B958-D334605984AC}"/>
    <hyperlink ref="E7" r:id="rId14" xr:uid="{AA3CEAE2-5F36-457A-B7FE-E56A1568ECC4}"/>
    <hyperlink ref="E8" r:id="rId15" xr:uid="{084DEB08-D85B-446C-AE50-E092AC6073FA}"/>
    <hyperlink ref="D9" r:id="rId16" display="https://befr.rs-online.com/web/p/safety-relays/2166423" xr:uid="{C7BE25A9-B00D-40CE-9F22-25831BD956F2}"/>
    <hyperlink ref="E28" r:id="rId17" xr:uid="{3DAA283F-1F44-48E3-8727-F392C14C3A1F}"/>
    <hyperlink ref="E29" r:id="rId18" xr:uid="{523DB424-6D3F-46F9-B225-B9C969851E97}"/>
    <hyperlink ref="E33" r:id="rId19" xr:uid="{626515BB-54F6-468A-8BA6-5603A0B3B074}"/>
    <hyperlink ref="E37" r:id="rId20" location="attr=600,601,39780" display="https://www.zelektro.be/aardingsdraad-16mm.html?utm_source=google&amp;utm_medium=cpc&amp;utm_campaign=HYB+%7C+Performance+Max+%7C+Over-index+%7C+BENL&amp;gad_source=1&amp;gad_campaignid=21704857846&amp;gbraid=0AAAAADnyLPHAPDiE0Q2_-XM7aT5VTqm4-&amp;gclid=Cj0KCQjw4a3OBhCHARIsAChaqJNFLes1v4RTqGejWFqnqGFrrTvZFjGbHmeMO-RV5rFwSSwuvpgWti0aAmlzEALw_wcB#attr=600,601,39780" xr:uid="{C8297019-047D-4D9C-B94F-5205B59DE155}"/>
    <hyperlink ref="D5" r:id="rId21" display="https://www.ebay.de/itm/227185692369?chn=ps&amp;_ul=DE&amp;mkevt=1&amp;mkcid=28&amp;google_free_listing_action=view_item" xr:uid="{3DD689D6-4F64-49D7-B785-EF1A68E27672}"/>
    <hyperlink ref="E40" r:id="rId22" xr:uid="{E1012EC6-EB16-4B6B-8A55-9D3D374DB652}"/>
    <hyperlink ref="E13" r:id="rId23" display="https://www.automation24.be/nl/trekontlasting-murrplastik-87705010-zl-fix-w-25?previewPriceListId=6&amp;gad_source=1&amp;gad_campaignid=22448516810&amp;gbraid=0AAAAACXhQngc4pgBXRLv5LMC-vrwN1Mpj&amp;gclid=CjwKCAjwhLPOBhBiEiwA8_wJHMRfpTr_lUsbpVoYN7eJnP273M4QZsI5XgCIDHkBmBDuse-5wpKggRoC16IQAvD_BwE" xr:uid="{3444403C-1C9C-430E-AA63-146EA88256CC}"/>
    <hyperlink ref="E19" r:id="rId24" xr:uid="{03CE322A-1953-499D-9087-EDA8C3146056}"/>
    <hyperlink ref="E42" r:id="rId25" xr:uid="{C3951074-A3AE-4A5B-8F0E-8679E3AB71D4}"/>
    <hyperlink ref="E17" r:id="rId26" xr:uid="{82120353-0926-48E7-A69B-6663C9AD0B2A}"/>
    <hyperlink ref="E22" r:id="rId27" xr:uid="{EC2752ED-D311-4F79-82B1-9F2E73CB4578}"/>
    <hyperlink ref="E18" r:id="rId28" xr:uid="{2E670810-5BD4-4FD6-8D49-902C5B8D1CB9}"/>
    <hyperlink ref="E20" r:id="rId29" xr:uid="{497FEA7A-EF7B-4F52-B889-4326ADFDE4B0}"/>
    <hyperlink ref="E25" r:id="rId30" xr:uid="{00F6F5B2-A3A0-4EE7-BBE8-8E93ED779BB7}"/>
  </hyperlinks>
  <pageMargins left="0.7" right="0.7" top="0.75" bottom="0.75" header="0.3" footer="0.3"/>
  <legacyDrawing r:id="rId31"/>
  <tableParts count="1">
    <tablePart r:id="rId3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7CC2C3-0C8C-4E4A-9351-2B8DA29490C5}">
          <x14:formula1>
            <xm:f>'Cost of Production Techniques'!$C$4:$C$13</xm:f>
          </x14:formula1>
          <xm:sqref>G4:G14 G16:G60</xm:sqref>
        </x14:dataValidation>
        <x14:dataValidation type="list" allowBlank="1" showInputMessage="1" showErrorMessage="1" xr:uid="{E96BB3D4-2050-40E5-9AA1-8BC2B97DC6BA}">
          <x14:formula1>
            <xm:f>'Cost of Production Techniques'!$C$18:$C$21</xm:f>
          </x14:formula1>
          <xm:sqref>K43:K60 K4:K42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A2D5-F700-4B61-93A8-3142D081196A}">
  <dimension ref="C1:I21"/>
  <sheetViews>
    <sheetView workbookViewId="0">
      <selection activeCell="G30" sqref="G30"/>
    </sheetView>
  </sheetViews>
  <sheetFormatPr defaultRowHeight="14.4" x14ac:dyDescent="0.3"/>
  <cols>
    <col min="3" max="3" width="42.33203125" bestFit="1" customWidth="1"/>
    <col min="4" max="4" width="25.77734375" bestFit="1" customWidth="1"/>
    <col min="5" max="5" width="11.44140625" bestFit="1" customWidth="1"/>
    <col min="6" max="6" width="13.44140625" customWidth="1"/>
    <col min="7" max="7" width="26.21875" bestFit="1" customWidth="1"/>
    <col min="8" max="8" width="15.88671875" bestFit="1" customWidth="1"/>
    <col min="9" max="9" width="16.5546875" bestFit="1" customWidth="1"/>
  </cols>
  <sheetData>
    <row r="1" spans="3:9" x14ac:dyDescent="0.3">
      <c r="D1" s="1"/>
      <c r="G1" s="1"/>
    </row>
    <row r="2" spans="3:9" x14ac:dyDescent="0.3">
      <c r="D2" s="1"/>
      <c r="F2" s="1"/>
      <c r="G2" s="1"/>
      <c r="I2" s="2"/>
    </row>
    <row r="3" spans="3:9" ht="28.8" x14ac:dyDescent="0.3">
      <c r="C3" s="1" t="s">
        <v>3</v>
      </c>
      <c r="D3" s="1"/>
      <c r="E3" s="1" t="s">
        <v>14</v>
      </c>
      <c r="G3" s="3" t="s">
        <v>11</v>
      </c>
      <c r="H3" s="1" t="s">
        <v>12</v>
      </c>
      <c r="I3" s="1" t="s">
        <v>13</v>
      </c>
    </row>
    <row r="4" spans="3:9" x14ac:dyDescent="0.3">
      <c r="C4" t="s">
        <v>37</v>
      </c>
      <c r="D4" s="5" t="s">
        <v>15</v>
      </c>
      <c r="E4" s="7">
        <v>0.2</v>
      </c>
      <c r="G4">
        <v>1</v>
      </c>
      <c r="H4" s="6">
        <v>40</v>
      </c>
      <c r="I4" s="6">
        <f>SUM($H$4:H4)</f>
        <v>40</v>
      </c>
    </row>
    <row r="5" spans="3:9" x14ac:dyDescent="0.3">
      <c r="C5" t="s">
        <v>38</v>
      </c>
      <c r="D5" s="5" t="s">
        <v>16</v>
      </c>
      <c r="E5" s="7">
        <v>0.2</v>
      </c>
      <c r="G5">
        <v>2</v>
      </c>
      <c r="H5" s="6">
        <v>10</v>
      </c>
      <c r="I5" s="6">
        <f>SUM($H$4:H5)</f>
        <v>50</v>
      </c>
    </row>
    <row r="6" spans="3:9" x14ac:dyDescent="0.3">
      <c r="C6" t="s">
        <v>39</v>
      </c>
      <c r="D6" s="5" t="s">
        <v>15</v>
      </c>
      <c r="E6" s="7">
        <v>0.15</v>
      </c>
      <c r="G6">
        <v>3</v>
      </c>
      <c r="H6" s="6">
        <v>20</v>
      </c>
      <c r="I6" s="6">
        <f>SUM($H$4:H6)</f>
        <v>70</v>
      </c>
    </row>
    <row r="7" spans="3:9" x14ac:dyDescent="0.3">
      <c r="C7" t="s">
        <v>40</v>
      </c>
      <c r="D7" s="5" t="s">
        <v>16</v>
      </c>
      <c r="E7" s="7">
        <v>0.25</v>
      </c>
      <c r="G7">
        <v>4</v>
      </c>
      <c r="H7" s="6">
        <v>30</v>
      </c>
      <c r="I7" s="6">
        <f>SUM($H$4:H7)</f>
        <v>100</v>
      </c>
    </row>
    <row r="8" spans="3:9" x14ac:dyDescent="0.3">
      <c r="C8" t="s">
        <v>41</v>
      </c>
      <c r="D8" s="5" t="s">
        <v>17</v>
      </c>
      <c r="E8" s="7">
        <v>0.2</v>
      </c>
      <c r="G8">
        <v>5</v>
      </c>
      <c r="H8" s="6">
        <v>40</v>
      </c>
      <c r="I8" s="6">
        <f>SUM($H$4:H8)</f>
        <v>140</v>
      </c>
    </row>
    <row r="9" spans="3:9" x14ac:dyDescent="0.3">
      <c r="C9" t="s">
        <v>7</v>
      </c>
      <c r="D9" s="5" t="s">
        <v>18</v>
      </c>
      <c r="E9" s="7">
        <v>0.15</v>
      </c>
      <c r="G9">
        <v>6</v>
      </c>
      <c r="H9" s="6">
        <v>50</v>
      </c>
      <c r="I9" s="6">
        <f>SUM($H$4:H9)</f>
        <v>190</v>
      </c>
    </row>
    <row r="10" spans="3:9" x14ac:dyDescent="0.3">
      <c r="C10" t="s">
        <v>8</v>
      </c>
      <c r="D10" s="5" t="s">
        <v>19</v>
      </c>
      <c r="E10" s="7">
        <v>0.2</v>
      </c>
      <c r="H10" s="6"/>
      <c r="I10" s="6"/>
    </row>
    <row r="11" spans="3:9" x14ac:dyDescent="0.3">
      <c r="C11" t="s">
        <v>9</v>
      </c>
      <c r="D11" s="5" t="s">
        <v>16</v>
      </c>
      <c r="E11" s="7">
        <v>0.3</v>
      </c>
      <c r="H11" s="6"/>
      <c r="I11" s="6"/>
    </row>
    <row r="12" spans="3:9" x14ac:dyDescent="0.3">
      <c r="C12" t="s">
        <v>42</v>
      </c>
      <c r="D12" s="5" t="s">
        <v>20</v>
      </c>
      <c r="E12" s="7">
        <v>0.15</v>
      </c>
      <c r="H12" s="6"/>
      <c r="I12" s="6"/>
    </row>
    <row r="13" spans="3:9" x14ac:dyDescent="0.3">
      <c r="C13" t="s">
        <v>10</v>
      </c>
      <c r="D13" s="5" t="s">
        <v>21</v>
      </c>
      <c r="E13" s="7">
        <v>0.5</v>
      </c>
    </row>
    <row r="15" spans="3:9" x14ac:dyDescent="0.3">
      <c r="F15" s="4"/>
    </row>
    <row r="16" spans="3:9" x14ac:dyDescent="0.3">
      <c r="F16" s="4"/>
    </row>
    <row r="17" spans="3:4" x14ac:dyDescent="0.3">
      <c r="C17" s="1" t="s">
        <v>22</v>
      </c>
      <c r="D17" s="1" t="s">
        <v>27</v>
      </c>
    </row>
    <row r="18" spans="3:4" x14ac:dyDescent="0.3">
      <c r="C18" t="s">
        <v>23</v>
      </c>
      <c r="D18">
        <v>2</v>
      </c>
    </row>
    <row r="19" spans="3:4" x14ac:dyDescent="0.3">
      <c r="C19" t="s">
        <v>24</v>
      </c>
      <c r="D19">
        <v>1</v>
      </c>
    </row>
    <row r="20" spans="3:4" x14ac:dyDescent="0.3">
      <c r="C20" t="s">
        <v>25</v>
      </c>
      <c r="D20">
        <v>0.9</v>
      </c>
    </row>
    <row r="21" spans="3:4" x14ac:dyDescent="0.3">
      <c r="C21" t="s">
        <v>26</v>
      </c>
      <c r="D21">
        <v>0.75</v>
      </c>
    </row>
  </sheetData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Component List</vt:lpstr>
      <vt:lpstr>Cost of Production Techniques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Antje Goossens</dc:creator>
  <cp:lastModifiedBy>Tom Heyselberghs</cp:lastModifiedBy>
  <dcterms:created xsi:type="dcterms:W3CDTF">2023-11-22T12:32:58Z</dcterms:created>
  <dcterms:modified xsi:type="dcterms:W3CDTF">2026-04-02T09:56:03Z</dcterms:modified>
</cp:coreProperties>
</file>